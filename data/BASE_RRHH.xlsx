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dim_unidad" sheetId="2" state="visible" r:id="rId2"/>
    <sheet xmlns:r="http://schemas.openxmlformats.org/officeDocument/2006/relationships" name="dim_area" sheetId="3" state="visible" r:id="rId3"/>
    <sheet xmlns:r="http://schemas.openxmlformats.org/officeDocument/2006/relationships" name="fact_plantilla" sheetId="4" state="visible" r:id="rId4"/>
    <sheet xmlns:r="http://schemas.openxmlformats.org/officeDocument/2006/relationships" name="fact_movimientos" sheetId="5" state="visible" r:id="rId5"/>
    <sheet xmlns:r="http://schemas.openxmlformats.org/officeDocument/2006/relationships" name="fact_ausentismo" sheetId="6" state="visible" r:id="rId6"/>
    <sheet xmlns:r="http://schemas.openxmlformats.org/officeDocument/2006/relationships" name="fact_nomina" sheetId="7" state="visible" r:id="rId7"/>
    <sheet xmlns:r="http://schemas.openxmlformats.org/officeDocument/2006/relationships" name="fact_capacitacion" sheetId="8" state="visible" r:id="rId8"/>
    <sheet xmlns:r="http://schemas.openxmlformats.org/officeDocument/2006/relationships" name="fact_relaciones_laborales" sheetId="9" state="visible" r:id="rId9"/>
    <sheet xmlns:r="http://schemas.openxmlformats.org/officeDocument/2006/relationships" name="metas" sheetId="10" state="visible" r:id="rId10"/>
  </sheets>
  <definedNames>
    <definedName name="_xlnm._FilterDatabase" localSheetId="1" hidden="1">'dim_unidad'!$A$1:$F$1</definedName>
    <definedName name="_xlnm._FilterDatabase" localSheetId="2" hidden="1">'dim_area'!$A$1:$D$1</definedName>
    <definedName name="_xlnm._FilterDatabase" localSheetId="3" hidden="1">'fact_plantilla'!$A$1:$K$1</definedName>
    <definedName name="_xlnm._FilterDatabase" localSheetId="4" hidden="1">'fact_movimientos'!$A$1:$I$1</definedName>
    <definedName name="_xlnm._FilterDatabase" localSheetId="5" hidden="1">'fact_ausentismo'!$A$1:$G$1</definedName>
    <definedName name="_xlnm._FilterDatabase" localSheetId="6" hidden="1">'fact_nomina'!$A$1:$J$1</definedName>
    <definedName name="_xlnm._FilterDatabase" localSheetId="7" hidden="1">'fact_capacitacion'!$A$1:$K$1</definedName>
    <definedName name="_xlnm._FilterDatabase" localSheetId="8" hidden="1">'fact_relaciones_laborales'!$A$1:$K$1</definedName>
    <definedName name="_xlnm._FilterDatabase" localSheetId="9" hidden="1">'metas'!$A$1:$E$1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sz val="10"/>
    </font>
    <font>
      <name val="Arial"/>
      <b val="1"/>
      <sz val="11"/>
    </font>
    <font>
      <name val="Arial"/>
      <sz val="10"/>
    </font>
    <font>
      <name val="Arial"/>
      <b val="1"/>
      <color rgb="FF0000FF"/>
      <sz val="10"/>
    </font>
    <font>
      <name val="Arial"/>
      <b val="1"/>
      <color rgb="FFFFFFFF"/>
      <sz val="10"/>
    </font>
    <font>
      <name val="Arial"/>
      <b val="1"/>
      <sz val="10"/>
    </font>
    <font>
      <name val="Arial"/>
      <i val="1"/>
      <sz val="9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D9EAD3"/>
      </patternFill>
    </fill>
    <fill>
      <patternFill patternType="solid">
        <fgColor rgb="FF000000"/>
      </patternFill>
    </fill>
  </fills>
  <borders count="2">
    <border>
      <left/>
      <right/>
      <top/>
      <bottom/>
      <diagonal/>
    </border>
    <border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4" fillId="0" borderId="0" applyAlignment="1" pivotButton="0" quotePrefix="0" xfId="0">
      <alignment vertical="top" wrapText="1"/>
    </xf>
    <xf numFmtId="0" fontId="6" fillId="4" borderId="0" pivotButton="0" quotePrefix="0" xfId="0"/>
    <xf numFmtId="0" fontId="4" fillId="0" borderId="1" pivotButton="0" quotePrefix="0" xfId="0"/>
    <xf numFmtId="3" fontId="4" fillId="0" borderId="1" pivotButton="0" quotePrefix="0" xfId="0"/>
    <xf numFmtId="3" fontId="3" fillId="2" borderId="0" pivotButton="0" quotePrefix="0" xfId="0"/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49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ETL</author>
  </authors>
  <commentList>
    <comment ref="A1" authorId="0" shapeId="0">
      <text>
        <t>Llave primaria de esta hoja: unidad_id.
No puede haber dos filas con la misma combinación.</t>
      </text>
    </comment>
  </commentList>
</comments>
</file>

<file path=xl/comments/comment2.xml><?xml version="1.0" encoding="utf-8"?>
<comments xmlns="http://schemas.openxmlformats.org/spreadsheetml/2006/main">
  <authors>
    <author>ETL</author>
  </authors>
  <commentList>
    <comment ref="A1" authorId="0" shapeId="0">
      <text>
        <t>Llave primaria de esta hoja: area_id.
No puede haber dos filas con la misma combinación.</t>
      </text>
    </comment>
  </commentList>
</comments>
</file>

<file path=xl/comments/comment3.xml><?xml version="1.0" encoding="utf-8"?>
<comments xmlns="http://schemas.openxmlformats.org/spreadsheetml/2006/main">
  <authors>
    <author>ETL</author>
  </authors>
  <commentList>
    <comment ref="A1" authorId="0" shapeId="0">
      <text>
        <t>Llave primaria de esta hoja: periodo, unidad_id, area_id, tipo_relacion.
No puede haber dos filas con la misma combinación.</t>
      </text>
    </comment>
  </commentList>
</comments>
</file>

<file path=xl/comments/comment4.xml><?xml version="1.0" encoding="utf-8"?>
<comments xmlns="http://schemas.openxmlformats.org/spreadsheetml/2006/main">
  <authors>
    <author>ETL</author>
  </authors>
  <commentList>
    <comment ref="A1" authorId="0" shapeId="0">
      <text>
        <t>Llave primaria de esta hoja: periodo, unidad_id, area_id.
No puede haber dos filas con la misma combinación.</t>
      </text>
    </comment>
  </commentList>
</comments>
</file>

<file path=xl/comments/comment5.xml><?xml version="1.0" encoding="utf-8"?>
<comments xmlns="http://schemas.openxmlformats.org/spreadsheetml/2006/main">
  <authors>
    <author>ETL</author>
  </authors>
  <commentList>
    <comment ref="A1" authorId="0" shapeId="0">
      <text>
        <t>Llave primaria de esta hoja: periodo, unidad_id, area_id.
No puede haber dos filas con la misma combinación.</t>
      </text>
    </comment>
  </commentList>
</comments>
</file>

<file path=xl/comments/comment6.xml><?xml version="1.0" encoding="utf-8"?>
<comments xmlns="http://schemas.openxmlformats.org/spreadsheetml/2006/main">
  <authors>
    <author>ETL</author>
  </authors>
  <commentList>
    <comment ref="A1" authorId="0" shapeId="0">
      <text>
        <t>Llave primaria de esta hoja: periodo, unidad_id, area_id.
No puede haber dos filas con la misma combinación.</t>
      </text>
    </comment>
  </commentList>
</comments>
</file>

<file path=xl/comments/comment7.xml><?xml version="1.0" encoding="utf-8"?>
<comments xmlns="http://schemas.openxmlformats.org/spreadsheetml/2006/main">
  <authors>
    <author>ETL</author>
  </authors>
  <commentList>
    <comment ref="A1" authorId="0" shapeId="0">
      <text>
        <t>Llave primaria de esta hoja: periodo, unidad_id, area_id.
No puede haber dos filas con la misma combinación.</t>
      </text>
    </comment>
  </commentList>
</comments>
</file>

<file path=xl/comments/comment8.xml><?xml version="1.0" encoding="utf-8"?>
<comments xmlns="http://schemas.openxmlformats.org/spreadsheetml/2006/main">
  <authors>
    <author>ETL</author>
  </authors>
  <commentList>
    <comment ref="A1" authorId="0" shapeId="0">
      <text>
        <t>Llave primaria de esta hoja: periodo, unidad_id.
No puede haber dos filas con la misma combinación.</t>
      </text>
    </comment>
  </commentList>
</comments>
</file>

<file path=xl/comments/comment9.xml><?xml version="1.0" encoding="utf-8"?>
<comments xmlns="http://schemas.openxmlformats.org/spreadsheetml/2006/main">
  <authors>
    <author>ETL</author>
  </authors>
  <commentList>
    <comment ref="A1" authorId="0" shapeId="0">
      <text>
        <t>Llave primaria de esta hoja: kpi.
No puede haber dos filas con la misma combinación.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46" customWidth="1" min="3" max="3"/>
    <col width="16" customWidth="1" min="4" max="4"/>
    <col width="52" customWidth="1" min="5" max="5"/>
  </cols>
  <sheetData>
    <row r="2">
      <c r="B2" s="1" t="inlineStr">
        <is>
          <t>BASE DE DATOS — DASHBOARD DE RRHH</t>
        </is>
      </c>
      <c r="C2" s="2" t="n"/>
      <c r="D2" s="2" t="n"/>
      <c r="E2" s="2" t="n"/>
    </row>
    <row r="3">
      <c r="B3" s="3" t="inlineStr">
        <is>
          <t>Minera Rio Tinto · una hoja por tabla · no borrar ni renombrar hojas</t>
        </is>
      </c>
      <c r="C3" s="2" t="n"/>
      <c r="D3" s="2" t="n"/>
      <c r="E3" s="2" t="n"/>
    </row>
    <row r="5">
      <c r="B5" s="4" t="inlineStr">
        <is>
          <t>CONFIGURACIÓN</t>
        </is>
      </c>
      <c r="C5" s="2" t="n"/>
      <c r="E5" s="2" t="n"/>
    </row>
    <row r="7">
      <c r="B7" s="5" t="inlineStr">
        <is>
          <t>Origen de los datos</t>
        </is>
      </c>
      <c r="C7" s="6" t="inlineStr">
        <is>
          <t>REAL</t>
        </is>
      </c>
      <c r="E7" s="7" t="inlineStr">
        <is>
          <t>DEMO enciende el aviso naranja de datos de demostración en el tablero. Cambia a REAL cuando cargues el cierre de la operación.</t>
        </is>
      </c>
    </row>
    <row r="8">
      <c r="B8" s="5" t="inlineStr">
        <is>
          <t>Nombre de la organización</t>
        </is>
      </c>
      <c r="C8" s="6" t="inlineStr">
        <is>
          <t>Minera Rio Tinto</t>
        </is>
      </c>
      <c r="E8" s="5" t="inlineStr">
        <is>
          <t>Aparece bajo el título del tablero.</t>
        </is>
      </c>
    </row>
    <row r="10">
      <c r="B10" s="4" t="inlineStr">
        <is>
          <t>REGISTROS CARGADOS</t>
        </is>
      </c>
      <c r="C10" s="2" t="n"/>
      <c r="D10" s="2" t="n"/>
      <c r="E10" s="2" t="n"/>
    </row>
    <row r="11">
      <c r="B11" s="8" t="inlineStr">
        <is>
          <t>Hoja</t>
        </is>
      </c>
      <c r="C11" s="8" t="inlineStr">
        <is>
          <t>Registros</t>
        </is>
      </c>
      <c r="D11" s="8" t="inlineStr">
        <is>
          <t>Columnas</t>
        </is>
      </c>
      <c r="E11" s="8" t="inlineStr">
        <is>
          <t>Qué contiene</t>
        </is>
      </c>
    </row>
    <row r="12">
      <c r="B12" s="9" t="inlineStr">
        <is>
          <t>dim_unidad</t>
        </is>
      </c>
      <c r="C12" s="10">
        <f>COUNTA(dim_unidad!A2:A5000)</f>
        <v/>
      </c>
      <c r="D12" s="9">
        <f>COUNTA(dim_unidad!A1:F1)</f>
        <v/>
      </c>
      <c r="E12" s="9" t="inlineStr">
        <is>
          <t>Catálogo de unidades mineras y corporativo</t>
        </is>
      </c>
    </row>
    <row r="13">
      <c r="B13" s="9" t="inlineStr">
        <is>
          <t>dim_area</t>
        </is>
      </c>
      <c r="C13" s="10">
        <f>COUNTA(dim_area!A2:A5000)</f>
        <v/>
      </c>
      <c r="D13" s="9">
        <f>COUNTA(dim_area!A1:D1)</f>
        <v/>
      </c>
      <c r="E13" s="9" t="inlineStr">
        <is>
          <t>Catálogo de áreas y si son críticas</t>
        </is>
      </c>
    </row>
    <row r="14">
      <c r="B14" s="9" t="inlineStr">
        <is>
          <t>fact_plantilla</t>
        </is>
      </c>
      <c r="C14" s="10">
        <f>COUNTA(fact_plantilla!A2:A5000)</f>
        <v/>
      </c>
      <c r="D14" s="9">
        <f>COUNTA(fact_plantilla!A1:K1)</f>
        <v/>
      </c>
      <c r="E14" s="9" t="inlineStr">
        <is>
          <t>Headcount, dotación autorizada y puestos críticos</t>
        </is>
      </c>
    </row>
    <row r="15">
      <c r="B15" s="9" t="inlineStr">
        <is>
          <t>fact_movimientos</t>
        </is>
      </c>
      <c r="C15" s="10">
        <f>COUNTA(fact_movimientos!A2:A5000)</f>
        <v/>
      </c>
      <c r="D15" s="9">
        <f>COUNTA(fact_movimientos!A1:I1)</f>
        <v/>
      </c>
      <c r="E15" s="9" t="inlineStr">
        <is>
          <t>Altas, bajas, vacantes y días de cobertura</t>
        </is>
      </c>
    </row>
    <row r="16">
      <c r="B16" s="9" t="inlineStr">
        <is>
          <t>fact_ausentismo</t>
        </is>
      </c>
      <c r="C16" s="10">
        <f>COUNTA(fact_ausentismo!A2:A5000)</f>
        <v/>
      </c>
      <c r="D16" s="9">
        <f>COUNTA(fact_ausentismo!A1:G1)</f>
        <v/>
      </c>
      <c r="E16" s="9" t="inlineStr">
        <is>
          <t>Horas programadas vs ausencia e incapacidades</t>
        </is>
      </c>
    </row>
    <row r="17">
      <c r="B17" s="9" t="inlineStr">
        <is>
          <t>fact_nomina</t>
        </is>
      </c>
      <c r="C17" s="10">
        <f>COUNTA(fact_nomina!A2:A5000)</f>
        <v/>
      </c>
      <c r="D17" s="9">
        <f>COUNTA(fact_nomina!A1:J1)</f>
        <v/>
      </c>
      <c r="E17" s="9" t="inlineStr">
        <is>
          <t>Costo laboral, horas extra y toneladas movidas</t>
        </is>
      </c>
    </row>
    <row r="18">
      <c r="B18" s="9" t="inlineStr">
        <is>
          <t>fact_capacitacion</t>
        </is>
      </c>
      <c r="C18" s="10">
        <f>COUNTA(fact_capacitacion!A2:A5000)</f>
        <v/>
      </c>
      <c r="D18" s="9">
        <f>COUNTA(fact_capacitacion!A1:K1)</f>
        <v/>
      </c>
      <c r="E18" s="9" t="inlineStr">
        <is>
          <t>Plan vs ejecutado, DC-3 y competencias</t>
        </is>
      </c>
    </row>
    <row r="19">
      <c r="B19" s="9" t="inlineStr">
        <is>
          <t>fact_relaciones_laborales</t>
        </is>
      </c>
      <c r="C19" s="10">
        <f>COUNTA(fact_relaciones_laborales!A2:A5000)</f>
        <v/>
      </c>
      <c r="D19" s="9">
        <f>COUNTA(fact_relaciones_laborales!A1:K1)</f>
        <v/>
      </c>
      <c r="E19" s="9" t="inlineStr">
        <is>
          <t>Sindicato, conflictos, eNPS y revisión de CCT</t>
        </is>
      </c>
    </row>
    <row r="20">
      <c r="B20" s="9" t="inlineStr">
        <is>
          <t>metas</t>
        </is>
      </c>
      <c r="C20" s="10">
        <f>COUNTA(metas!A2:A5000)</f>
        <v/>
      </c>
      <c r="D20" s="9">
        <f>COUNTA(metas!A1:E1)</f>
        <v/>
      </c>
      <c r="E20" s="9" t="inlineStr">
        <is>
          <t>Meta autorizada por indicador</t>
        </is>
      </c>
    </row>
    <row r="21">
      <c r="B21" s="4" t="inlineStr">
        <is>
          <t>TOTAL</t>
        </is>
      </c>
      <c r="C21" s="11">
        <f>SUM(C12:C20)</f>
        <v/>
      </c>
      <c r="D21" s="2" t="n"/>
      <c r="E21" s="2" t="n"/>
    </row>
    <row r="24">
      <c r="B24" s="4" t="inlineStr">
        <is>
          <t>CÓMO CAPTURAR</t>
        </is>
      </c>
      <c r="C24" s="2" t="n"/>
      <c r="D24" s="2" t="n"/>
      <c r="E24" s="2" t="n"/>
    </row>
    <row r="26" ht="30" customHeight="1">
      <c r="B26" s="12" t="inlineStr">
        <is>
          <t>1. Una fila por combinación de llave</t>
        </is>
      </c>
      <c r="C26" s="7" t="inlineStr">
        <is>
          <t>Cada hoja tiene una llave primaria. Dos filas con la misma llave hacen fallar la validación. La llave está anotada en el comentario del primer encabezado de cada hoja.</t>
        </is>
      </c>
    </row>
    <row r="27" ht="30" customHeight="1">
      <c r="B27" s="12" t="inlineStr">
        <is>
          <t>2. El periodo se escribe AAAA-MM</t>
        </is>
      </c>
      <c r="C27" s="7" t="inlineStr">
        <is>
          <t>Por ejemplo 2026-08. La columna ya está formateada como texto para que Excel no la convierta en fecha. No cambies ese formato.</t>
        </is>
      </c>
    </row>
    <row r="28" ht="30" customHeight="1">
      <c r="B28" s="12" t="inlineStr">
        <is>
          <t>3. No borrar ni renombrar hojas ni columnas</t>
        </is>
      </c>
      <c r="C28" s="7" t="inlineStr">
        <is>
          <t>El ETL valida los encabezados exactos y en el mismo orden. Si necesitas una columna nueva, se agrega también en etl/schema.py.</t>
        </is>
      </c>
    </row>
    <row r="29" ht="30" customHeight="1">
      <c r="B29" s="12" t="inlineStr">
        <is>
          <t>4. Las celdas azules son de captura</t>
        </is>
      </c>
      <c r="C29" s="7" t="inlineStr">
        <is>
          <t>En esta hoja, azul significa que tú decides el valor. En las hojas de datos, todas las celdas son de captura.</t>
        </is>
      </c>
    </row>
    <row r="30" ht="30" customHeight="1">
      <c r="B30" s="12" t="inlineStr">
        <is>
          <t>5. Las columnas de catálogo tienen desplegable</t>
        </is>
      </c>
      <c r="C30" s="7" t="inlineStr">
        <is>
          <t>tipo_relacion, turno, tipo_area, direccion, unidad_id y area_id validan contra una lista. Si el desplegable no ofrece lo que necesitas, primero agrégalo a la hoja de catálogo correspondiente.</t>
        </is>
      </c>
    </row>
    <row r="31" ht="30" customHeight="1">
      <c r="B31" s="12" t="inlineStr">
        <is>
          <t>6. Montos en pesos, sin signo ni separador</t>
        </is>
      </c>
      <c r="C31" s="7" t="inlineStr">
        <is>
          <t>Escribe 1250000, no $1,250,000. El formato de celda ya muestra los separadores.</t>
        </is>
      </c>
    </row>
    <row r="32" ht="30" customHeight="1">
      <c r="B32" s="12" t="inlineStr">
        <is>
          <t>7. Agregar meses, no sobrescribirlos</t>
        </is>
      </c>
      <c r="C32" s="7" t="inlineStr">
        <is>
          <t>El tablero calcula tasas anualizadas con ventana móvil de 12 meses. Borrar historia rompe esos indicadores. Se agregan filas del mes nuevo.</t>
        </is>
      </c>
    </row>
    <row r="33" ht="30" customHeight="1">
      <c r="B33" s="12" t="inlineStr">
        <is>
          <t>8. Al terminar, subir este archivo a GitHub</t>
        </is>
      </c>
      <c r="C33" s="7" t="inlineStr">
        <is>
          <t>El repositorio valida y republica el tablero solo. Si la validación falla, el tablero conserva el cierre anterior en lugar de mostrar un dato equivocado.</t>
        </is>
      </c>
    </row>
    <row r="35">
      <c r="B35" s="13" t="inlineStr">
        <is>
          <t>Diccionario de datos completo: plantillas/DICCIONARIO.md del repositorio.</t>
        </is>
      </c>
    </row>
  </sheetData>
  <mergeCells count="8">
    <mergeCell ref="C33:E33"/>
    <mergeCell ref="C28:E28"/>
    <mergeCell ref="C27:E27"/>
    <mergeCell ref="C31:E31"/>
    <mergeCell ref="C26:E26"/>
    <mergeCell ref="C29:E29"/>
    <mergeCell ref="C30:E30"/>
    <mergeCell ref="C32:E32"/>
  </mergeCells>
  <dataValidations count="1">
    <dataValidation sqref="C7" showDropDown="0" showInputMessage="0" showErrorMessage="0" allowBlank="0" errorTitle="Valor no permitido" error="Escribe DEMO o REAL." promptTitle="Origen de los datos" prompt="DEMO o REAL" type="list">
      <formula1>"DEMO,REAL"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13" customWidth="1" min="6" max="6"/>
  </cols>
  <sheetData>
    <row r="1" ht="30" customHeight="1">
      <c r="A1" s="14" t="inlineStr">
        <is>
          <t>unidad_id</t>
        </is>
      </c>
      <c r="B1" s="14" t="inlineStr">
        <is>
          <t>unidad</t>
        </is>
      </c>
      <c r="C1" s="14" t="inlineStr">
        <is>
          <t>estado</t>
        </is>
      </c>
      <c r="D1" s="14" t="inlineStr">
        <is>
          <t>tipo_operacion</t>
        </is>
      </c>
      <c r="E1" s="14" t="inlineStr">
        <is>
          <t>mineral_principal</t>
        </is>
      </c>
      <c r="F1" s="14" t="inlineStr">
        <is>
          <t>es_corporativo</t>
        </is>
      </c>
    </row>
    <row r="2">
      <c r="A2" s="15" t="inlineStr">
        <is>
          <t>U01</t>
        </is>
      </c>
      <c r="B2" s="15" t="inlineStr">
        <is>
          <t>Unidad Cieneguita</t>
        </is>
      </c>
      <c r="C2" s="15" t="inlineStr">
        <is>
          <t>Chihuahua</t>
        </is>
      </c>
      <c r="D2" s="15" t="inlineStr">
        <is>
          <t>Planta</t>
        </is>
      </c>
      <c r="E2" s="15" t="inlineStr">
        <is>
          <t>Oro-Plata</t>
        </is>
      </c>
      <c r="F2" s="16" t="n">
        <v>0</v>
      </c>
    </row>
    <row r="3">
      <c r="A3" s="15" t="inlineStr">
        <is>
          <t>U02</t>
        </is>
      </c>
      <c r="B3" s="15" t="inlineStr">
        <is>
          <t>Mina Realito</t>
        </is>
      </c>
      <c r="C3" s="15" t="inlineStr">
        <is>
          <t>Chihuahua</t>
        </is>
      </c>
      <c r="D3" s="15" t="inlineStr">
        <is>
          <t>Cielo abierto</t>
        </is>
      </c>
      <c r="E3" s="15" t="inlineStr">
        <is>
          <t>Oro-Plata</t>
        </is>
      </c>
      <c r="F3" s="16" t="n">
        <v>0</v>
      </c>
    </row>
    <row r="4">
      <c r="A4" s="15" t="inlineStr">
        <is>
          <t>U03</t>
        </is>
      </c>
      <c r="B4" s="15" t="inlineStr">
        <is>
          <t>Mina Olivos</t>
        </is>
      </c>
      <c r="C4" s="15" t="inlineStr">
        <is>
          <t>Chihuahua</t>
        </is>
      </c>
      <c r="D4" s="15" t="inlineStr">
        <is>
          <t>Cielo abierto</t>
        </is>
      </c>
      <c r="E4" s="15" t="inlineStr">
        <is>
          <t>Oro-Plata</t>
        </is>
      </c>
      <c r="F4" s="16" t="n">
        <v>0</v>
      </c>
    </row>
    <row r="5">
      <c r="A5" s="15" t="inlineStr">
        <is>
          <t>U04</t>
        </is>
      </c>
      <c r="B5" s="15" t="inlineStr">
        <is>
          <t>Unidad Olivos</t>
        </is>
      </c>
      <c r="C5" s="15" t="inlineStr">
        <is>
          <t>Chihuahua</t>
        </is>
      </c>
      <c r="D5" s="15" t="inlineStr">
        <is>
          <t>Planta</t>
        </is>
      </c>
      <c r="E5" s="15" t="inlineStr">
        <is>
          <t>Oro-Plata</t>
        </is>
      </c>
      <c r="F5" s="16" t="n">
        <v>0</v>
      </c>
    </row>
    <row r="6">
      <c r="A6" s="15" t="inlineStr">
        <is>
          <t>U05</t>
        </is>
      </c>
      <c r="B6" s="15" t="inlineStr">
        <is>
          <t>Choix</t>
        </is>
      </c>
      <c r="C6" s="15" t="inlineStr">
        <is>
          <t>Chihuahua</t>
        </is>
      </c>
      <c r="D6" s="15" t="inlineStr">
        <is>
          <t>Planta</t>
        </is>
      </c>
      <c r="E6" s="15" t="inlineStr">
        <is>
          <t>Oro-Plata</t>
        </is>
      </c>
      <c r="F6" s="16" t="n">
        <v>0</v>
      </c>
    </row>
    <row r="7">
      <c r="A7" s="15" t="inlineStr">
        <is>
          <t>U06</t>
        </is>
      </c>
      <c r="B7" s="15" t="inlineStr">
        <is>
          <t>Unidad Namiquipa</t>
        </is>
      </c>
      <c r="C7" s="15" t="inlineStr">
        <is>
          <t>Chihuahua</t>
        </is>
      </c>
      <c r="D7" s="15" t="inlineStr">
        <is>
          <t>Planta</t>
        </is>
      </c>
      <c r="E7" s="15" t="inlineStr">
        <is>
          <t>Oro-Plata</t>
        </is>
      </c>
      <c r="F7" s="16" t="n">
        <v>0</v>
      </c>
    </row>
    <row r="8">
      <c r="A8" s="15" t="inlineStr">
        <is>
          <t>U07</t>
        </is>
      </c>
      <c r="B8" s="15" t="inlineStr">
        <is>
          <t>Geología Exploración</t>
        </is>
      </c>
      <c r="C8" s="15" t="inlineStr">
        <is>
          <t>Chihuahua</t>
        </is>
      </c>
      <c r="D8" s="15" t="inlineStr">
        <is>
          <t>Exploración</t>
        </is>
      </c>
      <c r="E8" s="15" t="inlineStr">
        <is>
          <t>Plomo-Zinc</t>
        </is>
      </c>
      <c r="F8" s="16" t="n">
        <v>0</v>
      </c>
    </row>
    <row r="9">
      <c r="A9" s="15" t="inlineStr">
        <is>
          <t>U08</t>
        </is>
      </c>
      <c r="B9" s="15" t="inlineStr">
        <is>
          <t>Corporativo</t>
        </is>
      </c>
      <c r="C9" s="15" t="inlineStr">
        <is>
          <t>Chihuahua</t>
        </is>
      </c>
      <c r="D9" s="15" t="inlineStr">
        <is>
          <t>Corporativo</t>
        </is>
      </c>
      <c r="E9" s="15" t="inlineStr">
        <is>
          <t>N/A</t>
        </is>
      </c>
      <c r="F9" s="16" t="n">
        <v>1</v>
      </c>
    </row>
  </sheetData>
  <autoFilter ref="A1:F1"/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13" customWidth="1" min="4" max="4"/>
  </cols>
  <sheetData>
    <row r="1" ht="30" customHeight="1">
      <c r="A1" s="14" t="inlineStr">
        <is>
          <t>area_id</t>
        </is>
      </c>
      <c r="B1" s="14" t="inlineStr">
        <is>
          <t>area</t>
        </is>
      </c>
      <c r="C1" s="14" t="inlineStr">
        <is>
          <t>tipo_area</t>
        </is>
      </c>
      <c r="D1" s="14" t="inlineStr">
        <is>
          <t>es_critica</t>
        </is>
      </c>
    </row>
    <row r="2">
      <c r="A2" s="15" t="inlineStr">
        <is>
          <t>A01</t>
        </is>
      </c>
      <c r="B2" s="15" t="inlineStr">
        <is>
          <t>Planta de Beneficio</t>
        </is>
      </c>
      <c r="C2" s="15" t="inlineStr">
        <is>
          <t>Planta</t>
        </is>
      </c>
      <c r="D2" s="16" t="n">
        <v>1</v>
      </c>
    </row>
    <row r="3">
      <c r="A3" s="15" t="inlineStr">
        <is>
          <t>A02</t>
        </is>
      </c>
      <c r="B3" s="15" t="inlineStr">
        <is>
          <t>Mina Tajo</t>
        </is>
      </c>
      <c r="C3" s="15" t="inlineStr">
        <is>
          <t>Mina</t>
        </is>
      </c>
      <c r="D3" s="16" t="n">
        <v>1</v>
      </c>
    </row>
    <row r="4">
      <c r="A4" s="15" t="inlineStr">
        <is>
          <t>A03</t>
        </is>
      </c>
      <c r="B4" s="15" t="inlineStr">
        <is>
          <t>Exploración</t>
        </is>
      </c>
      <c r="C4" s="15" t="inlineStr">
        <is>
          <t>Exploración</t>
        </is>
      </c>
      <c r="D4" s="16" t="n">
        <v>1</v>
      </c>
    </row>
    <row r="5">
      <c r="A5" s="15" t="inlineStr">
        <is>
          <t>A04</t>
        </is>
      </c>
      <c r="B5" s="15" t="inlineStr">
        <is>
          <t>Mantenimiento</t>
        </is>
      </c>
      <c r="C5" s="15" t="inlineStr">
        <is>
          <t>Mantenimiento</t>
        </is>
      </c>
      <c r="D5" s="16" t="n">
        <v>1</v>
      </c>
    </row>
    <row r="6">
      <c r="A6" s="15" t="inlineStr">
        <is>
          <t>A05</t>
        </is>
      </c>
      <c r="B6" s="15" t="inlineStr">
        <is>
          <t>Seguridad y Salud</t>
        </is>
      </c>
      <c r="C6" s="15" t="inlineStr">
        <is>
          <t>Seguridad</t>
        </is>
      </c>
      <c r="D6" s="16" t="n">
        <v>0</v>
      </c>
    </row>
    <row r="7">
      <c r="A7" s="15" t="inlineStr">
        <is>
          <t>A06</t>
        </is>
      </c>
      <c r="B7" s="15" t="inlineStr">
        <is>
          <t>Metalurgia</t>
        </is>
      </c>
      <c r="C7" s="15" t="inlineStr">
        <is>
          <t>Metalurgia</t>
        </is>
      </c>
      <c r="D7" s="16" t="n">
        <v>1</v>
      </c>
    </row>
    <row r="8">
      <c r="A8" s="15" t="inlineStr">
        <is>
          <t>A07</t>
        </is>
      </c>
      <c r="B8" s="15" t="inlineStr">
        <is>
          <t>Administración y RRHH</t>
        </is>
      </c>
      <c r="C8" s="15" t="inlineStr">
        <is>
          <t>Administración</t>
        </is>
      </c>
      <c r="D8" s="16" t="n">
        <v>0</v>
      </c>
    </row>
  </sheetData>
  <autoFilter ref="A1:D1"/>
  <dataValidations count="1">
    <dataValidation sqref="C2:C5000" showDropDown="0" showInputMessage="0" showErrorMessage="1" allowBlank="1" errorTitle="Valor fuera de catálogo" error="Valores permitidos: Mina, Planta, Metalurgia, Exploración, Mantenimiento, Seguridad, Administración" type="list">
      <formula1>"Mina,Planta,Metalurgia,Exploración,Mantenimiento,Seguridad,Administración"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26" customWidth="1" min="3" max="3"/>
    <col width="26" customWidth="1" min="4" max="4"/>
    <col width="26" customWidth="1" min="5" max="5"/>
    <col width="13" customWidth="1" min="6" max="6"/>
    <col width="13" customWidth="1" min="7" max="7"/>
    <col width="13" customWidth="1" min="8" max="8"/>
    <col width="15" customWidth="1" min="9" max="9"/>
    <col width="13" customWidth="1" min="10" max="10"/>
    <col width="13" customWidth="1" min="11" max="11"/>
  </cols>
  <sheetData>
    <row r="1" ht="30" customHeight="1">
      <c r="A1" s="14" t="inlineStr">
        <is>
          <t>periodo</t>
        </is>
      </c>
      <c r="B1" s="14" t="inlineStr">
        <is>
          <t>unidad_id</t>
        </is>
      </c>
      <c r="C1" s="14" t="inlineStr">
        <is>
          <t>area_id</t>
        </is>
      </c>
      <c r="D1" s="14" t="inlineStr">
        <is>
          <t>tipo_relacion</t>
        </is>
      </c>
      <c r="E1" s="14" t="inlineStr">
        <is>
          <t>turno</t>
        </is>
      </c>
      <c r="F1" s="14" t="inlineStr">
        <is>
          <t>headcount</t>
        </is>
      </c>
      <c r="G1" s="14" t="inlineStr">
        <is>
          <t>dotacion_autorizada</t>
        </is>
      </c>
      <c r="H1" s="14" t="inlineStr">
        <is>
          <t>mujeres</t>
        </is>
      </c>
      <c r="I1" s="14" t="inlineStr">
        <is>
          <t>antiguedad_prom_meses</t>
        </is>
      </c>
      <c r="J1" s="14" t="inlineStr">
        <is>
          <t>puestos_criticos_totales</t>
        </is>
      </c>
      <c r="K1" s="14" t="inlineStr">
        <is>
          <t>puestos_criticos_cubiertos</t>
        </is>
      </c>
    </row>
    <row r="2">
      <c r="A2" s="15" t="inlineStr">
        <is>
          <t>2025-08</t>
        </is>
      </c>
      <c r="B2" s="15" t="inlineStr">
        <is>
          <t>U01</t>
        </is>
      </c>
      <c r="C2" s="15" t="inlineStr">
        <is>
          <t>A01</t>
        </is>
      </c>
      <c r="D2" s="15" t="inlineStr">
        <is>
          <t>Propio</t>
        </is>
      </c>
      <c r="E2" s="15" t="inlineStr">
        <is>
          <t>14x7</t>
        </is>
      </c>
      <c r="F2" s="16" t="n">
        <v>140</v>
      </c>
      <c r="G2" s="16" t="n">
        <v>140</v>
      </c>
      <c r="H2" s="16" t="n"/>
      <c r="I2" s="17" t="n"/>
      <c r="J2" s="16" t="n"/>
      <c r="K2" s="16" t="n"/>
    </row>
    <row r="3">
      <c r="A3" s="15" t="inlineStr">
        <is>
          <t>2025-08</t>
        </is>
      </c>
      <c r="B3" s="15" t="inlineStr">
        <is>
          <t>U01</t>
        </is>
      </c>
      <c r="C3" s="15" t="inlineStr">
        <is>
          <t>A02</t>
        </is>
      </c>
      <c r="D3" s="15" t="inlineStr">
        <is>
          <t>Propio</t>
        </is>
      </c>
      <c r="E3" s="15" t="inlineStr">
        <is>
          <t>14x7</t>
        </is>
      </c>
      <c r="F3" s="16" t="n">
        <v>15</v>
      </c>
      <c r="G3" s="16" t="n">
        <v>15</v>
      </c>
      <c r="H3" s="16" t="n"/>
      <c r="I3" s="17" t="n"/>
      <c r="J3" s="16" t="n"/>
      <c r="K3" s="16" t="n"/>
    </row>
    <row r="4">
      <c r="A4" s="15" t="inlineStr">
        <is>
          <t>2025-08</t>
        </is>
      </c>
      <c r="B4" s="15" t="inlineStr">
        <is>
          <t>U03</t>
        </is>
      </c>
      <c r="C4" s="15" t="inlineStr">
        <is>
          <t>A02</t>
        </is>
      </c>
      <c r="D4" s="15" t="inlineStr">
        <is>
          <t>Propio</t>
        </is>
      </c>
      <c r="E4" s="15" t="inlineStr">
        <is>
          <t>14x7</t>
        </is>
      </c>
      <c r="F4" s="16" t="n">
        <v>25</v>
      </c>
      <c r="G4" s="16" t="n">
        <v>25</v>
      </c>
      <c r="H4" s="16" t="n"/>
      <c r="I4" s="17" t="n"/>
      <c r="J4" s="16" t="n"/>
      <c r="K4" s="16" t="n"/>
    </row>
    <row r="5">
      <c r="A5" s="15" t="inlineStr">
        <is>
          <t>2025-08</t>
        </is>
      </c>
      <c r="B5" s="15" t="inlineStr">
        <is>
          <t>U05</t>
        </is>
      </c>
      <c r="C5" s="15" t="inlineStr">
        <is>
          <t>A01</t>
        </is>
      </c>
      <c r="D5" s="15" t="inlineStr">
        <is>
          <t>Propio</t>
        </is>
      </c>
      <c r="E5" s="15" t="inlineStr">
        <is>
          <t>5x2</t>
        </is>
      </c>
      <c r="F5" s="16" t="n">
        <v>7</v>
      </c>
      <c r="G5" s="16" t="n">
        <v>7</v>
      </c>
      <c r="H5" s="16" t="n"/>
      <c r="I5" s="17" t="n"/>
      <c r="J5" s="16" t="n"/>
      <c r="K5" s="16" t="n"/>
    </row>
    <row r="6">
      <c r="A6" s="15" t="inlineStr">
        <is>
          <t>2025-08</t>
        </is>
      </c>
      <c r="B6" s="15" t="inlineStr">
        <is>
          <t>U07</t>
        </is>
      </c>
      <c r="C6" s="15" t="inlineStr">
        <is>
          <t>A03</t>
        </is>
      </c>
      <c r="D6" s="15" t="inlineStr">
        <is>
          <t>Propio</t>
        </is>
      </c>
      <c r="E6" s="15" t="inlineStr">
        <is>
          <t>20x10</t>
        </is>
      </c>
      <c r="F6" s="16" t="n">
        <v>29</v>
      </c>
      <c r="G6" s="16" t="n">
        <v>29</v>
      </c>
      <c r="H6" s="16" t="n"/>
      <c r="I6" s="17" t="n"/>
      <c r="J6" s="16" t="n"/>
      <c r="K6" s="16" t="n"/>
    </row>
    <row r="7">
      <c r="A7" s="15" t="inlineStr">
        <is>
          <t>2025-08</t>
        </is>
      </c>
      <c r="B7" s="15" t="inlineStr">
        <is>
          <t>U08</t>
        </is>
      </c>
      <c r="C7" s="15" t="inlineStr">
        <is>
          <t>A07</t>
        </is>
      </c>
      <c r="D7" s="15" t="inlineStr">
        <is>
          <t>Propio</t>
        </is>
      </c>
      <c r="E7" s="15" t="inlineStr">
        <is>
          <t>5x2</t>
        </is>
      </c>
      <c r="F7" s="16" t="n">
        <v>47</v>
      </c>
      <c r="G7" s="16" t="n">
        <v>47</v>
      </c>
      <c r="H7" s="16" t="n"/>
      <c r="I7" s="17" t="n"/>
      <c r="J7" s="16" t="n"/>
      <c r="K7" s="16" t="n"/>
    </row>
    <row r="8">
      <c r="A8" s="15" t="inlineStr">
        <is>
          <t>2025-09</t>
        </is>
      </c>
      <c r="B8" s="15" t="inlineStr">
        <is>
          <t>U01</t>
        </is>
      </c>
      <c r="C8" s="15" t="inlineStr">
        <is>
          <t>A01</t>
        </is>
      </c>
      <c r="D8" s="15" t="inlineStr">
        <is>
          <t>Propio</t>
        </is>
      </c>
      <c r="E8" s="15" t="inlineStr">
        <is>
          <t>14x7</t>
        </is>
      </c>
      <c r="F8" s="16" t="n">
        <v>140</v>
      </c>
      <c r="G8" s="16" t="n">
        <v>140</v>
      </c>
      <c r="H8" s="16" t="n"/>
      <c r="I8" s="17" t="n"/>
      <c r="J8" s="16" t="n"/>
      <c r="K8" s="16" t="n"/>
    </row>
    <row r="9">
      <c r="A9" s="15" t="inlineStr">
        <is>
          <t>2025-09</t>
        </is>
      </c>
      <c r="B9" s="15" t="inlineStr">
        <is>
          <t>U01</t>
        </is>
      </c>
      <c r="C9" s="15" t="inlineStr">
        <is>
          <t>A02</t>
        </is>
      </c>
      <c r="D9" s="15" t="inlineStr">
        <is>
          <t>Propio</t>
        </is>
      </c>
      <c r="E9" s="15" t="inlineStr">
        <is>
          <t>14x7</t>
        </is>
      </c>
      <c r="F9" s="16" t="n">
        <v>15</v>
      </c>
      <c r="G9" s="16" t="n">
        <v>15</v>
      </c>
      <c r="H9" s="16" t="n"/>
      <c r="I9" s="17" t="n"/>
      <c r="J9" s="16" t="n"/>
      <c r="K9" s="16" t="n"/>
    </row>
    <row r="10">
      <c r="A10" s="15" t="inlineStr">
        <is>
          <t>2025-09</t>
        </is>
      </c>
      <c r="B10" s="15" t="inlineStr">
        <is>
          <t>U03</t>
        </is>
      </c>
      <c r="C10" s="15" t="inlineStr">
        <is>
          <t>A02</t>
        </is>
      </c>
      <c r="D10" s="15" t="inlineStr">
        <is>
          <t>Propio</t>
        </is>
      </c>
      <c r="E10" s="15" t="inlineStr">
        <is>
          <t>14x7</t>
        </is>
      </c>
      <c r="F10" s="16" t="n">
        <v>25</v>
      </c>
      <c r="G10" s="16" t="n">
        <v>25</v>
      </c>
      <c r="H10" s="16" t="n"/>
      <c r="I10" s="17" t="n"/>
      <c r="J10" s="16" t="n"/>
      <c r="K10" s="16" t="n"/>
    </row>
    <row r="11">
      <c r="A11" s="15" t="inlineStr">
        <is>
          <t>2025-09</t>
        </is>
      </c>
      <c r="B11" s="15" t="inlineStr">
        <is>
          <t>U05</t>
        </is>
      </c>
      <c r="C11" s="15" t="inlineStr">
        <is>
          <t>A01</t>
        </is>
      </c>
      <c r="D11" s="15" t="inlineStr">
        <is>
          <t>Propio</t>
        </is>
      </c>
      <c r="E11" s="15" t="inlineStr">
        <is>
          <t>5x2</t>
        </is>
      </c>
      <c r="F11" s="16" t="n">
        <v>7</v>
      </c>
      <c r="G11" s="16" t="n">
        <v>7</v>
      </c>
      <c r="H11" s="16" t="n"/>
      <c r="I11" s="17" t="n"/>
      <c r="J11" s="16" t="n"/>
      <c r="K11" s="16" t="n"/>
    </row>
    <row r="12">
      <c r="A12" s="15" t="inlineStr">
        <is>
          <t>2025-09</t>
        </is>
      </c>
      <c r="B12" s="15" t="inlineStr">
        <is>
          <t>U07</t>
        </is>
      </c>
      <c r="C12" s="15" t="inlineStr">
        <is>
          <t>A03</t>
        </is>
      </c>
      <c r="D12" s="15" t="inlineStr">
        <is>
          <t>Propio</t>
        </is>
      </c>
      <c r="E12" s="15" t="inlineStr">
        <is>
          <t>20x10</t>
        </is>
      </c>
      <c r="F12" s="16" t="n">
        <v>29</v>
      </c>
      <c r="G12" s="16" t="n">
        <v>29</v>
      </c>
      <c r="H12" s="16" t="n"/>
      <c r="I12" s="17" t="n"/>
      <c r="J12" s="16" t="n"/>
      <c r="K12" s="16" t="n"/>
    </row>
    <row r="13">
      <c r="A13" s="15" t="inlineStr">
        <is>
          <t>2025-09</t>
        </is>
      </c>
      <c r="B13" s="15" t="inlineStr">
        <is>
          <t>U08</t>
        </is>
      </c>
      <c r="C13" s="15" t="inlineStr">
        <is>
          <t>A07</t>
        </is>
      </c>
      <c r="D13" s="15" t="inlineStr">
        <is>
          <t>Propio</t>
        </is>
      </c>
      <c r="E13" s="15" t="inlineStr">
        <is>
          <t>5x2</t>
        </is>
      </c>
      <c r="F13" s="16" t="n">
        <v>47</v>
      </c>
      <c r="G13" s="16" t="n">
        <v>47</v>
      </c>
      <c r="H13" s="16" t="n"/>
      <c r="I13" s="17" t="n"/>
      <c r="J13" s="16" t="n"/>
      <c r="K13" s="16" t="n"/>
    </row>
    <row r="14">
      <c r="A14" s="15" t="inlineStr">
        <is>
          <t>2025-10</t>
        </is>
      </c>
      <c r="B14" s="15" t="inlineStr">
        <is>
          <t>U01</t>
        </is>
      </c>
      <c r="C14" s="15" t="inlineStr">
        <is>
          <t>A01</t>
        </is>
      </c>
      <c r="D14" s="15" t="inlineStr">
        <is>
          <t>Propio</t>
        </is>
      </c>
      <c r="E14" s="15" t="inlineStr">
        <is>
          <t>14x7</t>
        </is>
      </c>
      <c r="F14" s="16" t="n">
        <v>140</v>
      </c>
      <c r="G14" s="16" t="n">
        <v>140</v>
      </c>
      <c r="H14" s="16" t="n"/>
      <c r="I14" s="17" t="n"/>
      <c r="J14" s="16" t="n"/>
      <c r="K14" s="16" t="n"/>
    </row>
    <row r="15">
      <c r="A15" s="15" t="inlineStr">
        <is>
          <t>2025-10</t>
        </is>
      </c>
      <c r="B15" s="15" t="inlineStr">
        <is>
          <t>U01</t>
        </is>
      </c>
      <c r="C15" s="15" t="inlineStr">
        <is>
          <t>A02</t>
        </is>
      </c>
      <c r="D15" s="15" t="inlineStr">
        <is>
          <t>Propio</t>
        </is>
      </c>
      <c r="E15" s="15" t="inlineStr">
        <is>
          <t>14x7</t>
        </is>
      </c>
      <c r="F15" s="16" t="n">
        <v>15</v>
      </c>
      <c r="G15" s="16" t="n">
        <v>15</v>
      </c>
      <c r="H15" s="16" t="n"/>
      <c r="I15" s="17" t="n"/>
      <c r="J15" s="16" t="n"/>
      <c r="K15" s="16" t="n"/>
    </row>
    <row r="16">
      <c r="A16" s="15" t="inlineStr">
        <is>
          <t>2025-10</t>
        </is>
      </c>
      <c r="B16" s="15" t="inlineStr">
        <is>
          <t>U03</t>
        </is>
      </c>
      <c r="C16" s="15" t="inlineStr">
        <is>
          <t>A02</t>
        </is>
      </c>
      <c r="D16" s="15" t="inlineStr">
        <is>
          <t>Propio</t>
        </is>
      </c>
      <c r="E16" s="15" t="inlineStr">
        <is>
          <t>14x7</t>
        </is>
      </c>
      <c r="F16" s="16" t="n">
        <v>25</v>
      </c>
      <c r="G16" s="16" t="n">
        <v>25</v>
      </c>
      <c r="H16" s="16" t="n"/>
      <c r="I16" s="17" t="n"/>
      <c r="J16" s="16" t="n"/>
      <c r="K16" s="16" t="n"/>
    </row>
    <row r="17">
      <c r="A17" s="15" t="inlineStr">
        <is>
          <t>2025-10</t>
        </is>
      </c>
      <c r="B17" s="15" t="inlineStr">
        <is>
          <t>U05</t>
        </is>
      </c>
      <c r="C17" s="15" t="inlineStr">
        <is>
          <t>A01</t>
        </is>
      </c>
      <c r="D17" s="15" t="inlineStr">
        <is>
          <t>Propio</t>
        </is>
      </c>
      <c r="E17" s="15" t="inlineStr">
        <is>
          <t>5x2</t>
        </is>
      </c>
      <c r="F17" s="16" t="n">
        <v>7</v>
      </c>
      <c r="G17" s="16" t="n">
        <v>7</v>
      </c>
      <c r="H17" s="16" t="n"/>
      <c r="I17" s="17" t="n"/>
      <c r="J17" s="16" t="n"/>
      <c r="K17" s="16" t="n"/>
    </row>
    <row r="18">
      <c r="A18" s="15" t="inlineStr">
        <is>
          <t>2025-10</t>
        </is>
      </c>
      <c r="B18" s="15" t="inlineStr">
        <is>
          <t>U07</t>
        </is>
      </c>
      <c r="C18" s="15" t="inlineStr">
        <is>
          <t>A03</t>
        </is>
      </c>
      <c r="D18" s="15" t="inlineStr">
        <is>
          <t>Propio</t>
        </is>
      </c>
      <c r="E18" s="15" t="inlineStr">
        <is>
          <t>20x10</t>
        </is>
      </c>
      <c r="F18" s="16" t="n">
        <v>29</v>
      </c>
      <c r="G18" s="16" t="n">
        <v>29</v>
      </c>
      <c r="H18" s="16" t="n"/>
      <c r="I18" s="17" t="n"/>
      <c r="J18" s="16" t="n"/>
      <c r="K18" s="16" t="n"/>
    </row>
    <row r="19">
      <c r="A19" s="15" t="inlineStr">
        <is>
          <t>2025-10</t>
        </is>
      </c>
      <c r="B19" s="15" t="inlineStr">
        <is>
          <t>U08</t>
        </is>
      </c>
      <c r="C19" s="15" t="inlineStr">
        <is>
          <t>A07</t>
        </is>
      </c>
      <c r="D19" s="15" t="inlineStr">
        <is>
          <t>Propio</t>
        </is>
      </c>
      <c r="E19" s="15" t="inlineStr">
        <is>
          <t>5x2</t>
        </is>
      </c>
      <c r="F19" s="16" t="n">
        <v>47</v>
      </c>
      <c r="G19" s="16" t="n">
        <v>47</v>
      </c>
      <c r="H19" s="16" t="n"/>
      <c r="I19" s="17" t="n"/>
      <c r="J19" s="16" t="n"/>
      <c r="K19" s="16" t="n"/>
    </row>
    <row r="20">
      <c r="A20" s="15" t="inlineStr">
        <is>
          <t>2025-11</t>
        </is>
      </c>
      <c r="B20" s="15" t="inlineStr">
        <is>
          <t>U01</t>
        </is>
      </c>
      <c r="C20" s="15" t="inlineStr">
        <is>
          <t>A01</t>
        </is>
      </c>
      <c r="D20" s="15" t="inlineStr">
        <is>
          <t>Propio</t>
        </is>
      </c>
      <c r="E20" s="15" t="inlineStr">
        <is>
          <t>14x7</t>
        </is>
      </c>
      <c r="F20" s="16" t="n">
        <v>140</v>
      </c>
      <c r="G20" s="16" t="n">
        <v>140</v>
      </c>
      <c r="H20" s="16" t="n"/>
      <c r="I20" s="17" t="n"/>
      <c r="J20" s="16" t="n"/>
      <c r="K20" s="16" t="n"/>
    </row>
    <row r="21">
      <c r="A21" s="15" t="inlineStr">
        <is>
          <t>2025-11</t>
        </is>
      </c>
      <c r="B21" s="15" t="inlineStr">
        <is>
          <t>U01</t>
        </is>
      </c>
      <c r="C21" s="15" t="inlineStr">
        <is>
          <t>A02</t>
        </is>
      </c>
      <c r="D21" s="15" t="inlineStr">
        <is>
          <t>Propio</t>
        </is>
      </c>
      <c r="E21" s="15" t="inlineStr">
        <is>
          <t>14x7</t>
        </is>
      </c>
      <c r="F21" s="16" t="n">
        <v>15</v>
      </c>
      <c r="G21" s="16" t="n">
        <v>15</v>
      </c>
      <c r="H21" s="16" t="n"/>
      <c r="I21" s="17" t="n"/>
      <c r="J21" s="16" t="n"/>
      <c r="K21" s="16" t="n"/>
    </row>
    <row r="22">
      <c r="A22" s="15" t="inlineStr">
        <is>
          <t>2025-11</t>
        </is>
      </c>
      <c r="B22" s="15" t="inlineStr">
        <is>
          <t>U03</t>
        </is>
      </c>
      <c r="C22" s="15" t="inlineStr">
        <is>
          <t>A02</t>
        </is>
      </c>
      <c r="D22" s="15" t="inlineStr">
        <is>
          <t>Propio</t>
        </is>
      </c>
      <c r="E22" s="15" t="inlineStr">
        <is>
          <t>14x7</t>
        </is>
      </c>
      <c r="F22" s="16" t="n">
        <v>25</v>
      </c>
      <c r="G22" s="16" t="n">
        <v>25</v>
      </c>
      <c r="H22" s="16" t="n"/>
      <c r="I22" s="17" t="n"/>
      <c r="J22" s="16" t="n"/>
      <c r="K22" s="16" t="n"/>
    </row>
    <row r="23">
      <c r="A23" s="15" t="inlineStr">
        <is>
          <t>2025-11</t>
        </is>
      </c>
      <c r="B23" s="15" t="inlineStr">
        <is>
          <t>U05</t>
        </is>
      </c>
      <c r="C23" s="15" t="inlineStr">
        <is>
          <t>A01</t>
        </is>
      </c>
      <c r="D23" s="15" t="inlineStr">
        <is>
          <t>Propio</t>
        </is>
      </c>
      <c r="E23" s="15" t="inlineStr">
        <is>
          <t>5x2</t>
        </is>
      </c>
      <c r="F23" s="16" t="n">
        <v>7</v>
      </c>
      <c r="G23" s="16" t="n">
        <v>7</v>
      </c>
      <c r="H23" s="16" t="n"/>
      <c r="I23" s="17" t="n"/>
      <c r="J23" s="16" t="n"/>
      <c r="K23" s="16" t="n"/>
    </row>
    <row r="24">
      <c r="A24" s="15" t="inlineStr">
        <is>
          <t>2025-11</t>
        </is>
      </c>
      <c r="B24" s="15" t="inlineStr">
        <is>
          <t>U07</t>
        </is>
      </c>
      <c r="C24" s="15" t="inlineStr">
        <is>
          <t>A03</t>
        </is>
      </c>
      <c r="D24" s="15" t="inlineStr">
        <is>
          <t>Propio</t>
        </is>
      </c>
      <c r="E24" s="15" t="inlineStr">
        <is>
          <t>20x10</t>
        </is>
      </c>
      <c r="F24" s="16" t="n">
        <v>29</v>
      </c>
      <c r="G24" s="16" t="n">
        <v>29</v>
      </c>
      <c r="H24" s="16" t="n"/>
      <c r="I24" s="17" t="n"/>
      <c r="J24" s="16" t="n"/>
      <c r="K24" s="16" t="n"/>
    </row>
    <row r="25">
      <c r="A25" s="15" t="inlineStr">
        <is>
          <t>2025-11</t>
        </is>
      </c>
      <c r="B25" s="15" t="inlineStr">
        <is>
          <t>U08</t>
        </is>
      </c>
      <c r="C25" s="15" t="inlineStr">
        <is>
          <t>A07</t>
        </is>
      </c>
      <c r="D25" s="15" t="inlineStr">
        <is>
          <t>Propio</t>
        </is>
      </c>
      <c r="E25" s="15" t="inlineStr">
        <is>
          <t>5x2</t>
        </is>
      </c>
      <c r="F25" s="16" t="n">
        <v>47</v>
      </c>
      <c r="G25" s="16" t="n">
        <v>47</v>
      </c>
      <c r="H25" s="16" t="n"/>
      <c r="I25" s="17" t="n"/>
      <c r="J25" s="16" t="n"/>
      <c r="K25" s="16" t="n"/>
    </row>
    <row r="26">
      <c r="A26" s="15" t="inlineStr">
        <is>
          <t>2025-12</t>
        </is>
      </c>
      <c r="B26" s="15" t="inlineStr">
        <is>
          <t>U01</t>
        </is>
      </c>
      <c r="C26" s="15" t="inlineStr">
        <is>
          <t>A01</t>
        </is>
      </c>
      <c r="D26" s="15" t="inlineStr">
        <is>
          <t>Propio</t>
        </is>
      </c>
      <c r="E26" s="15" t="inlineStr">
        <is>
          <t>14x7</t>
        </is>
      </c>
      <c r="F26" s="16" t="n">
        <v>140</v>
      </c>
      <c r="G26" s="16" t="n">
        <v>140</v>
      </c>
      <c r="H26" s="16" t="n"/>
      <c r="I26" s="17" t="n"/>
      <c r="J26" s="16" t="n"/>
      <c r="K26" s="16" t="n"/>
    </row>
    <row r="27">
      <c r="A27" s="15" t="inlineStr">
        <is>
          <t>2025-12</t>
        </is>
      </c>
      <c r="B27" s="15" t="inlineStr">
        <is>
          <t>U01</t>
        </is>
      </c>
      <c r="C27" s="15" t="inlineStr">
        <is>
          <t>A02</t>
        </is>
      </c>
      <c r="D27" s="15" t="inlineStr">
        <is>
          <t>Propio</t>
        </is>
      </c>
      <c r="E27" s="15" t="inlineStr">
        <is>
          <t>14x7</t>
        </is>
      </c>
      <c r="F27" s="16" t="n">
        <v>15</v>
      </c>
      <c r="G27" s="16" t="n">
        <v>15</v>
      </c>
      <c r="H27" s="16" t="n"/>
      <c r="I27" s="17" t="n"/>
      <c r="J27" s="16" t="n"/>
      <c r="K27" s="16" t="n"/>
    </row>
    <row r="28">
      <c r="A28" s="15" t="inlineStr">
        <is>
          <t>2025-12</t>
        </is>
      </c>
      <c r="B28" s="15" t="inlineStr">
        <is>
          <t>U03</t>
        </is>
      </c>
      <c r="C28" s="15" t="inlineStr">
        <is>
          <t>A02</t>
        </is>
      </c>
      <c r="D28" s="15" t="inlineStr">
        <is>
          <t>Propio</t>
        </is>
      </c>
      <c r="E28" s="15" t="inlineStr">
        <is>
          <t>14x7</t>
        </is>
      </c>
      <c r="F28" s="16" t="n">
        <v>25</v>
      </c>
      <c r="G28" s="16" t="n">
        <v>25</v>
      </c>
      <c r="H28" s="16" t="n"/>
      <c r="I28" s="17" t="n"/>
      <c r="J28" s="16" t="n"/>
      <c r="K28" s="16" t="n"/>
    </row>
    <row r="29">
      <c r="A29" s="15" t="inlineStr">
        <is>
          <t>2025-12</t>
        </is>
      </c>
      <c r="B29" s="15" t="inlineStr">
        <is>
          <t>U05</t>
        </is>
      </c>
      <c r="C29" s="15" t="inlineStr">
        <is>
          <t>A01</t>
        </is>
      </c>
      <c r="D29" s="15" t="inlineStr">
        <is>
          <t>Propio</t>
        </is>
      </c>
      <c r="E29" s="15" t="inlineStr">
        <is>
          <t>5x2</t>
        </is>
      </c>
      <c r="F29" s="16" t="n">
        <v>7</v>
      </c>
      <c r="G29" s="16" t="n">
        <v>7</v>
      </c>
      <c r="H29" s="16" t="n"/>
      <c r="I29" s="17" t="n"/>
      <c r="J29" s="16" t="n"/>
      <c r="K29" s="16" t="n"/>
    </row>
    <row r="30">
      <c r="A30" s="15" t="inlineStr">
        <is>
          <t>2025-12</t>
        </is>
      </c>
      <c r="B30" s="15" t="inlineStr">
        <is>
          <t>U07</t>
        </is>
      </c>
      <c r="C30" s="15" t="inlineStr">
        <is>
          <t>A03</t>
        </is>
      </c>
      <c r="D30" s="15" t="inlineStr">
        <is>
          <t>Propio</t>
        </is>
      </c>
      <c r="E30" s="15" t="inlineStr">
        <is>
          <t>20x10</t>
        </is>
      </c>
      <c r="F30" s="16" t="n">
        <v>29</v>
      </c>
      <c r="G30" s="16" t="n">
        <v>29</v>
      </c>
      <c r="H30" s="16" t="n"/>
      <c r="I30" s="17" t="n"/>
      <c r="J30" s="16" t="n"/>
      <c r="K30" s="16" t="n"/>
    </row>
    <row r="31">
      <c r="A31" s="15" t="inlineStr">
        <is>
          <t>2025-12</t>
        </is>
      </c>
      <c r="B31" s="15" t="inlineStr">
        <is>
          <t>U08</t>
        </is>
      </c>
      <c r="C31" s="15" t="inlineStr">
        <is>
          <t>A07</t>
        </is>
      </c>
      <c r="D31" s="15" t="inlineStr">
        <is>
          <t>Propio</t>
        </is>
      </c>
      <c r="E31" s="15" t="inlineStr">
        <is>
          <t>5x2</t>
        </is>
      </c>
      <c r="F31" s="16" t="n">
        <v>47</v>
      </c>
      <c r="G31" s="16" t="n">
        <v>47</v>
      </c>
      <c r="H31" s="16" t="n"/>
      <c r="I31" s="17" t="n"/>
      <c r="J31" s="16" t="n"/>
      <c r="K31" s="16" t="n"/>
    </row>
    <row r="32">
      <c r="A32" s="15" t="inlineStr">
        <is>
          <t>2026-01</t>
        </is>
      </c>
      <c r="B32" s="15" t="inlineStr">
        <is>
          <t>U01</t>
        </is>
      </c>
      <c r="C32" s="15" t="inlineStr">
        <is>
          <t>A01</t>
        </is>
      </c>
      <c r="D32" s="15" t="inlineStr">
        <is>
          <t>Propio</t>
        </is>
      </c>
      <c r="E32" s="15" t="inlineStr">
        <is>
          <t>14x7</t>
        </is>
      </c>
      <c r="F32" s="16" t="n">
        <v>140</v>
      </c>
      <c r="G32" s="16" t="n">
        <v>140</v>
      </c>
      <c r="H32" s="16" t="n"/>
      <c r="I32" s="17" t="n"/>
      <c r="J32" s="16" t="n"/>
      <c r="K32" s="16" t="n"/>
    </row>
    <row r="33">
      <c r="A33" s="15" t="inlineStr">
        <is>
          <t>2026-01</t>
        </is>
      </c>
      <c r="B33" s="15" t="inlineStr">
        <is>
          <t>U01</t>
        </is>
      </c>
      <c r="C33" s="15" t="inlineStr">
        <is>
          <t>A02</t>
        </is>
      </c>
      <c r="D33" s="15" t="inlineStr">
        <is>
          <t>Propio</t>
        </is>
      </c>
      <c r="E33" s="15" t="inlineStr">
        <is>
          <t>14x7</t>
        </is>
      </c>
      <c r="F33" s="16" t="n">
        <v>15</v>
      </c>
      <c r="G33" s="16" t="n">
        <v>15</v>
      </c>
      <c r="H33" s="16" t="n"/>
      <c r="I33" s="17" t="n"/>
      <c r="J33" s="16" t="n"/>
      <c r="K33" s="16" t="n"/>
    </row>
    <row r="34">
      <c r="A34" s="15" t="inlineStr">
        <is>
          <t>2026-01</t>
        </is>
      </c>
      <c r="B34" s="15" t="inlineStr">
        <is>
          <t>U03</t>
        </is>
      </c>
      <c r="C34" s="15" t="inlineStr">
        <is>
          <t>A02</t>
        </is>
      </c>
      <c r="D34" s="15" t="inlineStr">
        <is>
          <t>Propio</t>
        </is>
      </c>
      <c r="E34" s="15" t="inlineStr">
        <is>
          <t>14x7</t>
        </is>
      </c>
      <c r="F34" s="16" t="n">
        <v>30</v>
      </c>
      <c r="G34" s="16" t="n">
        <v>30</v>
      </c>
      <c r="H34" s="16" t="n"/>
      <c r="I34" s="17" t="n"/>
      <c r="J34" s="16" t="n"/>
      <c r="K34" s="16" t="n"/>
    </row>
    <row r="35">
      <c r="A35" s="15" t="inlineStr">
        <is>
          <t>2026-01</t>
        </is>
      </c>
      <c r="B35" s="15" t="inlineStr">
        <is>
          <t>U05</t>
        </is>
      </c>
      <c r="C35" s="15" t="inlineStr">
        <is>
          <t>A01</t>
        </is>
      </c>
      <c r="D35" s="15" t="inlineStr">
        <is>
          <t>Propio</t>
        </is>
      </c>
      <c r="E35" s="15" t="inlineStr">
        <is>
          <t>5x2</t>
        </is>
      </c>
      <c r="F35" s="16" t="n">
        <v>7</v>
      </c>
      <c r="G35" s="16" t="n">
        <v>7</v>
      </c>
      <c r="H35" s="16" t="n"/>
      <c r="I35" s="17" t="n"/>
      <c r="J35" s="16" t="n"/>
      <c r="K35" s="16" t="n"/>
    </row>
    <row r="36">
      <c r="A36" s="15" t="inlineStr">
        <is>
          <t>2026-01</t>
        </is>
      </c>
      <c r="B36" s="15" t="inlineStr">
        <is>
          <t>U06</t>
        </is>
      </c>
      <c r="C36" s="15" t="inlineStr">
        <is>
          <t>A01</t>
        </is>
      </c>
      <c r="D36" s="15" t="inlineStr">
        <is>
          <t>Propio</t>
        </is>
      </c>
      <c r="E36" s="15" t="inlineStr">
        <is>
          <t>5x2</t>
        </is>
      </c>
      <c r="F36" s="16" t="n">
        <v>7</v>
      </c>
      <c r="G36" s="16" t="n">
        <v>7</v>
      </c>
      <c r="H36" s="16" t="n"/>
      <c r="I36" s="17" t="n"/>
      <c r="J36" s="16" t="n"/>
      <c r="K36" s="16" t="n"/>
    </row>
    <row r="37">
      <c r="A37" s="15" t="inlineStr">
        <is>
          <t>2026-01</t>
        </is>
      </c>
      <c r="B37" s="15" t="inlineStr">
        <is>
          <t>U07</t>
        </is>
      </c>
      <c r="C37" s="15" t="inlineStr">
        <is>
          <t>A03</t>
        </is>
      </c>
      <c r="D37" s="15" t="inlineStr">
        <is>
          <t>Propio</t>
        </is>
      </c>
      <c r="E37" s="15" t="inlineStr">
        <is>
          <t>20x10</t>
        </is>
      </c>
      <c r="F37" s="16" t="n">
        <v>29</v>
      </c>
      <c r="G37" s="16" t="n">
        <v>29</v>
      </c>
      <c r="H37" s="16" t="n"/>
      <c r="I37" s="17" t="n"/>
      <c r="J37" s="16" t="n"/>
      <c r="K37" s="16" t="n"/>
    </row>
    <row r="38">
      <c r="A38" s="15" t="inlineStr">
        <is>
          <t>2026-01</t>
        </is>
      </c>
      <c r="B38" s="15" t="inlineStr">
        <is>
          <t>U08</t>
        </is>
      </c>
      <c r="C38" s="15" t="inlineStr">
        <is>
          <t>A07</t>
        </is>
      </c>
      <c r="D38" s="15" t="inlineStr">
        <is>
          <t>Propio</t>
        </is>
      </c>
      <c r="E38" s="15" t="inlineStr">
        <is>
          <t>5x2</t>
        </is>
      </c>
      <c r="F38" s="16" t="n">
        <v>47</v>
      </c>
      <c r="G38" s="16" t="n">
        <v>47</v>
      </c>
      <c r="H38" s="16" t="n"/>
      <c r="I38" s="17" t="n"/>
      <c r="J38" s="16" t="n"/>
      <c r="K38" s="16" t="n"/>
    </row>
    <row r="39">
      <c r="A39" s="15" t="inlineStr">
        <is>
          <t>2026-02</t>
        </is>
      </c>
      <c r="B39" s="15" t="inlineStr">
        <is>
          <t>U01</t>
        </is>
      </c>
      <c r="C39" s="15" t="inlineStr">
        <is>
          <t>A01</t>
        </is>
      </c>
      <c r="D39" s="15" t="inlineStr">
        <is>
          <t>Propio</t>
        </is>
      </c>
      <c r="E39" s="15" t="inlineStr">
        <is>
          <t>14x7</t>
        </is>
      </c>
      <c r="F39" s="16" t="n">
        <v>140</v>
      </c>
      <c r="G39" s="16" t="n">
        <v>140</v>
      </c>
      <c r="H39" s="16" t="n"/>
      <c r="I39" s="17" t="n"/>
      <c r="J39" s="16" t="n"/>
      <c r="K39" s="16" t="n"/>
    </row>
    <row r="40">
      <c r="A40" s="15" t="inlineStr">
        <is>
          <t>2026-02</t>
        </is>
      </c>
      <c r="B40" s="15" t="inlineStr">
        <is>
          <t>U01</t>
        </is>
      </c>
      <c r="C40" s="15" t="inlineStr">
        <is>
          <t>A02</t>
        </is>
      </c>
      <c r="D40" s="15" t="inlineStr">
        <is>
          <t>Propio</t>
        </is>
      </c>
      <c r="E40" s="15" t="inlineStr">
        <is>
          <t>14x7</t>
        </is>
      </c>
      <c r="F40" s="16" t="n">
        <v>15</v>
      </c>
      <c r="G40" s="16" t="n">
        <v>15</v>
      </c>
      <c r="H40" s="16" t="n"/>
      <c r="I40" s="17" t="n"/>
      <c r="J40" s="16" t="n"/>
      <c r="K40" s="16" t="n"/>
    </row>
    <row r="41">
      <c r="A41" s="15" t="inlineStr">
        <is>
          <t>2026-02</t>
        </is>
      </c>
      <c r="B41" s="15" t="inlineStr">
        <is>
          <t>U03</t>
        </is>
      </c>
      <c r="C41" s="15" t="inlineStr">
        <is>
          <t>A02</t>
        </is>
      </c>
      <c r="D41" s="15" t="inlineStr">
        <is>
          <t>Propio</t>
        </is>
      </c>
      <c r="E41" s="15" t="inlineStr">
        <is>
          <t>14x7</t>
        </is>
      </c>
      <c r="F41" s="16" t="n">
        <v>33</v>
      </c>
      <c r="G41" s="16" t="n">
        <v>33</v>
      </c>
      <c r="H41" s="16" t="n"/>
      <c r="I41" s="17" t="n"/>
      <c r="J41" s="16" t="n"/>
      <c r="K41" s="16" t="n"/>
    </row>
    <row r="42">
      <c r="A42" s="15" t="inlineStr">
        <is>
          <t>2026-02</t>
        </is>
      </c>
      <c r="B42" s="15" t="inlineStr">
        <is>
          <t>U05</t>
        </is>
      </c>
      <c r="C42" s="15" t="inlineStr">
        <is>
          <t>A01</t>
        </is>
      </c>
      <c r="D42" s="15" t="inlineStr">
        <is>
          <t>Propio</t>
        </is>
      </c>
      <c r="E42" s="15" t="inlineStr">
        <is>
          <t>5x2</t>
        </is>
      </c>
      <c r="F42" s="16" t="n">
        <v>7</v>
      </c>
      <c r="G42" s="16" t="n">
        <v>7</v>
      </c>
      <c r="H42" s="16" t="n"/>
      <c r="I42" s="17" t="n"/>
      <c r="J42" s="16" t="n"/>
      <c r="K42" s="16" t="n"/>
    </row>
    <row r="43">
      <c r="A43" s="15" t="inlineStr">
        <is>
          <t>2026-02</t>
        </is>
      </c>
      <c r="B43" s="15" t="inlineStr">
        <is>
          <t>U06</t>
        </is>
      </c>
      <c r="C43" s="15" t="inlineStr">
        <is>
          <t>A01</t>
        </is>
      </c>
      <c r="D43" s="15" t="inlineStr">
        <is>
          <t>Propio</t>
        </is>
      </c>
      <c r="E43" s="15" t="inlineStr">
        <is>
          <t>5x2</t>
        </is>
      </c>
      <c r="F43" s="16" t="n">
        <v>7</v>
      </c>
      <c r="G43" s="16" t="n">
        <v>7</v>
      </c>
      <c r="H43" s="16" t="n"/>
      <c r="I43" s="17" t="n"/>
      <c r="J43" s="16" t="n"/>
      <c r="K43" s="16" t="n"/>
    </row>
    <row r="44">
      <c r="A44" s="15" t="inlineStr">
        <is>
          <t>2026-02</t>
        </is>
      </c>
      <c r="B44" s="15" t="inlineStr">
        <is>
          <t>U07</t>
        </is>
      </c>
      <c r="C44" s="15" t="inlineStr">
        <is>
          <t>A03</t>
        </is>
      </c>
      <c r="D44" s="15" t="inlineStr">
        <is>
          <t>Propio</t>
        </is>
      </c>
      <c r="E44" s="15" t="inlineStr">
        <is>
          <t>20x10</t>
        </is>
      </c>
      <c r="F44" s="16" t="n">
        <v>29</v>
      </c>
      <c r="G44" s="16" t="n">
        <v>29</v>
      </c>
      <c r="H44" s="16" t="n"/>
      <c r="I44" s="17" t="n"/>
      <c r="J44" s="16" t="n"/>
      <c r="K44" s="16" t="n"/>
    </row>
    <row r="45">
      <c r="A45" s="15" t="inlineStr">
        <is>
          <t>2026-02</t>
        </is>
      </c>
      <c r="B45" s="15" t="inlineStr">
        <is>
          <t>U08</t>
        </is>
      </c>
      <c r="C45" s="15" t="inlineStr">
        <is>
          <t>A07</t>
        </is>
      </c>
      <c r="D45" s="15" t="inlineStr">
        <is>
          <t>Propio</t>
        </is>
      </c>
      <c r="E45" s="15" t="inlineStr">
        <is>
          <t>5x2</t>
        </is>
      </c>
      <c r="F45" s="16" t="n">
        <v>47</v>
      </c>
      <c r="G45" s="16" t="n">
        <v>47</v>
      </c>
      <c r="H45" s="16" t="n"/>
      <c r="I45" s="17" t="n"/>
      <c r="J45" s="16" t="n"/>
      <c r="K45" s="16" t="n"/>
    </row>
    <row r="46">
      <c r="A46" s="15" t="inlineStr">
        <is>
          <t>2026-03</t>
        </is>
      </c>
      <c r="B46" s="15" t="inlineStr">
        <is>
          <t>U01</t>
        </is>
      </c>
      <c r="C46" s="15" t="inlineStr">
        <is>
          <t>A01</t>
        </is>
      </c>
      <c r="D46" s="15" t="inlineStr">
        <is>
          <t>Propio</t>
        </is>
      </c>
      <c r="E46" s="15" t="inlineStr">
        <is>
          <t>14x7</t>
        </is>
      </c>
      <c r="F46" s="16" t="n">
        <v>140</v>
      </c>
      <c r="G46" s="16" t="n">
        <v>140</v>
      </c>
      <c r="H46" s="16" t="n"/>
      <c r="I46" s="17" t="n"/>
      <c r="J46" s="16" t="n"/>
      <c r="K46" s="16" t="n"/>
    </row>
    <row r="47">
      <c r="A47" s="15" t="inlineStr">
        <is>
          <t>2026-03</t>
        </is>
      </c>
      <c r="B47" s="15" t="inlineStr">
        <is>
          <t>U01</t>
        </is>
      </c>
      <c r="C47" s="15" t="inlineStr">
        <is>
          <t>A02</t>
        </is>
      </c>
      <c r="D47" s="15" t="inlineStr">
        <is>
          <t>Propio</t>
        </is>
      </c>
      <c r="E47" s="15" t="inlineStr">
        <is>
          <t>14x7</t>
        </is>
      </c>
      <c r="F47" s="16" t="n">
        <v>15</v>
      </c>
      <c r="G47" s="16" t="n">
        <v>15</v>
      </c>
      <c r="H47" s="16" t="n"/>
      <c r="I47" s="17" t="n"/>
      <c r="J47" s="16" t="n"/>
      <c r="K47" s="16" t="n"/>
    </row>
    <row r="48">
      <c r="A48" s="15" t="inlineStr">
        <is>
          <t>2026-03</t>
        </is>
      </c>
      <c r="B48" s="15" t="inlineStr">
        <is>
          <t>U03</t>
        </is>
      </c>
      <c r="C48" s="15" t="inlineStr">
        <is>
          <t>A02</t>
        </is>
      </c>
      <c r="D48" s="15" t="inlineStr">
        <is>
          <t>Propio</t>
        </is>
      </c>
      <c r="E48" s="15" t="inlineStr">
        <is>
          <t>14x7</t>
        </is>
      </c>
      <c r="F48" s="16" t="n">
        <v>33</v>
      </c>
      <c r="G48" s="16" t="n">
        <v>33</v>
      </c>
      <c r="H48" s="16" t="n"/>
      <c r="I48" s="17" t="n"/>
      <c r="J48" s="16" t="n"/>
      <c r="K48" s="16" t="n"/>
    </row>
    <row r="49">
      <c r="A49" s="15" t="inlineStr">
        <is>
          <t>2026-03</t>
        </is>
      </c>
      <c r="B49" s="15" t="inlineStr">
        <is>
          <t>U05</t>
        </is>
      </c>
      <c r="C49" s="15" t="inlineStr">
        <is>
          <t>A01</t>
        </is>
      </c>
      <c r="D49" s="15" t="inlineStr">
        <is>
          <t>Propio</t>
        </is>
      </c>
      <c r="E49" s="15" t="inlineStr">
        <is>
          <t>5x2</t>
        </is>
      </c>
      <c r="F49" s="16" t="n">
        <v>7</v>
      </c>
      <c r="G49" s="16" t="n">
        <v>7</v>
      </c>
      <c r="H49" s="16" t="n"/>
      <c r="I49" s="17" t="n"/>
      <c r="J49" s="16" t="n"/>
      <c r="K49" s="16" t="n"/>
    </row>
    <row r="50">
      <c r="A50" s="15" t="inlineStr">
        <is>
          <t>2026-03</t>
        </is>
      </c>
      <c r="B50" s="15" t="inlineStr">
        <is>
          <t>U06</t>
        </is>
      </c>
      <c r="C50" s="15" t="inlineStr">
        <is>
          <t>A01</t>
        </is>
      </c>
      <c r="D50" s="15" t="inlineStr">
        <is>
          <t>Propio</t>
        </is>
      </c>
      <c r="E50" s="15" t="inlineStr">
        <is>
          <t>5x2</t>
        </is>
      </c>
      <c r="F50" s="16" t="n">
        <v>7</v>
      </c>
      <c r="G50" s="16" t="n">
        <v>7</v>
      </c>
      <c r="H50" s="16" t="n"/>
      <c r="I50" s="17" t="n"/>
      <c r="J50" s="16" t="n"/>
      <c r="K50" s="16" t="n"/>
    </row>
    <row r="51">
      <c r="A51" s="15" t="inlineStr">
        <is>
          <t>2026-03</t>
        </is>
      </c>
      <c r="B51" s="15" t="inlineStr">
        <is>
          <t>U07</t>
        </is>
      </c>
      <c r="C51" s="15" t="inlineStr">
        <is>
          <t>A03</t>
        </is>
      </c>
      <c r="D51" s="15" t="inlineStr">
        <is>
          <t>Propio</t>
        </is>
      </c>
      <c r="E51" s="15" t="inlineStr">
        <is>
          <t>20x10</t>
        </is>
      </c>
      <c r="F51" s="16" t="n">
        <v>29</v>
      </c>
      <c r="G51" s="16" t="n">
        <v>29</v>
      </c>
      <c r="H51" s="16" t="n"/>
      <c r="I51" s="17" t="n"/>
      <c r="J51" s="16" t="n"/>
      <c r="K51" s="16" t="n"/>
    </row>
    <row r="52">
      <c r="A52" s="15" t="inlineStr">
        <is>
          <t>2026-03</t>
        </is>
      </c>
      <c r="B52" s="15" t="inlineStr">
        <is>
          <t>U08</t>
        </is>
      </c>
      <c r="C52" s="15" t="inlineStr">
        <is>
          <t>A07</t>
        </is>
      </c>
      <c r="D52" s="15" t="inlineStr">
        <is>
          <t>Propio</t>
        </is>
      </c>
      <c r="E52" s="15" t="inlineStr">
        <is>
          <t>5x2</t>
        </is>
      </c>
      <c r="F52" s="16" t="n">
        <v>47</v>
      </c>
      <c r="G52" s="16" t="n">
        <v>47</v>
      </c>
      <c r="H52" s="16" t="n"/>
      <c r="I52" s="17" t="n"/>
      <c r="J52" s="16" t="n"/>
      <c r="K52" s="16" t="n"/>
    </row>
    <row r="53">
      <c r="A53" s="15" t="inlineStr">
        <is>
          <t>2026-04</t>
        </is>
      </c>
      <c r="B53" s="15" t="inlineStr">
        <is>
          <t>U01</t>
        </is>
      </c>
      <c r="C53" s="15" t="inlineStr">
        <is>
          <t>A01</t>
        </is>
      </c>
      <c r="D53" s="15" t="inlineStr">
        <is>
          <t>Propio</t>
        </is>
      </c>
      <c r="E53" s="15" t="inlineStr">
        <is>
          <t>14x7</t>
        </is>
      </c>
      <c r="F53" s="16" t="n">
        <v>140</v>
      </c>
      <c r="G53" s="16" t="n">
        <v>140</v>
      </c>
      <c r="H53" s="16" t="n"/>
      <c r="I53" s="17" t="n"/>
      <c r="J53" s="16" t="n"/>
      <c r="K53" s="16" t="n"/>
    </row>
    <row r="54">
      <c r="A54" s="15" t="inlineStr">
        <is>
          <t>2026-04</t>
        </is>
      </c>
      <c r="B54" s="15" t="inlineStr">
        <is>
          <t>U01</t>
        </is>
      </c>
      <c r="C54" s="15" t="inlineStr">
        <is>
          <t>A02</t>
        </is>
      </c>
      <c r="D54" s="15" t="inlineStr">
        <is>
          <t>Propio</t>
        </is>
      </c>
      <c r="E54" s="15" t="inlineStr">
        <is>
          <t>14x7</t>
        </is>
      </c>
      <c r="F54" s="16" t="n">
        <v>16</v>
      </c>
      <c r="G54" s="16" t="n">
        <v>20</v>
      </c>
      <c r="H54" s="16" t="n"/>
      <c r="I54" s="17" t="n"/>
      <c r="J54" s="16" t="n"/>
      <c r="K54" s="16" t="n"/>
    </row>
    <row r="55">
      <c r="A55" s="15" t="inlineStr">
        <is>
          <t>2026-04</t>
        </is>
      </c>
      <c r="B55" s="15" t="inlineStr">
        <is>
          <t>U03</t>
        </is>
      </c>
      <c r="C55" s="15" t="inlineStr">
        <is>
          <t>A02</t>
        </is>
      </c>
      <c r="D55" s="15" t="inlineStr">
        <is>
          <t>Propio</t>
        </is>
      </c>
      <c r="E55" s="15" t="inlineStr">
        <is>
          <t>14x7</t>
        </is>
      </c>
      <c r="F55" s="16" t="n">
        <v>33</v>
      </c>
      <c r="G55" s="16" t="n">
        <v>33</v>
      </c>
      <c r="H55" s="16" t="n"/>
      <c r="I55" s="17" t="n"/>
      <c r="J55" s="16" t="n"/>
      <c r="K55" s="16" t="n"/>
    </row>
    <row r="56">
      <c r="A56" s="15" t="inlineStr">
        <is>
          <t>2026-04</t>
        </is>
      </c>
      <c r="B56" s="15" t="inlineStr">
        <is>
          <t>U05</t>
        </is>
      </c>
      <c r="C56" s="15" t="inlineStr">
        <is>
          <t>A01</t>
        </is>
      </c>
      <c r="D56" s="15" t="inlineStr">
        <is>
          <t>Propio</t>
        </is>
      </c>
      <c r="E56" s="15" t="inlineStr">
        <is>
          <t>5x2</t>
        </is>
      </c>
      <c r="F56" s="16" t="n">
        <v>7</v>
      </c>
      <c r="G56" s="16" t="n">
        <v>7</v>
      </c>
      <c r="H56" s="16" t="n"/>
      <c r="I56" s="17" t="n"/>
      <c r="J56" s="16" t="n"/>
      <c r="K56" s="16" t="n"/>
    </row>
    <row r="57">
      <c r="A57" s="15" t="inlineStr">
        <is>
          <t>2026-04</t>
        </is>
      </c>
      <c r="B57" s="15" t="inlineStr">
        <is>
          <t>U06</t>
        </is>
      </c>
      <c r="C57" s="15" t="inlineStr">
        <is>
          <t>A01</t>
        </is>
      </c>
      <c r="D57" s="15" t="inlineStr">
        <is>
          <t>Propio</t>
        </is>
      </c>
      <c r="E57" s="15" t="inlineStr">
        <is>
          <t>5x2</t>
        </is>
      </c>
      <c r="F57" s="16" t="n">
        <v>7</v>
      </c>
      <c r="G57" s="16" t="n">
        <v>7</v>
      </c>
      <c r="H57" s="16" t="n"/>
      <c r="I57" s="17" t="n"/>
      <c r="J57" s="16" t="n"/>
      <c r="K57" s="16" t="n"/>
    </row>
    <row r="58">
      <c r="A58" s="15" t="inlineStr">
        <is>
          <t>2026-04</t>
        </is>
      </c>
      <c r="B58" s="15" t="inlineStr">
        <is>
          <t>U07</t>
        </is>
      </c>
      <c r="C58" s="15" t="inlineStr">
        <is>
          <t>A03</t>
        </is>
      </c>
      <c r="D58" s="15" t="inlineStr">
        <is>
          <t>Propio</t>
        </is>
      </c>
      <c r="E58" s="15" t="inlineStr">
        <is>
          <t>20x10</t>
        </is>
      </c>
      <c r="F58" s="16" t="n">
        <v>29</v>
      </c>
      <c r="G58" s="16" t="n">
        <v>29</v>
      </c>
      <c r="H58" s="16" t="n"/>
      <c r="I58" s="17" t="n"/>
      <c r="J58" s="16" t="n"/>
      <c r="K58" s="16" t="n"/>
    </row>
    <row r="59">
      <c r="A59" s="15" t="inlineStr">
        <is>
          <t>2026-04</t>
        </is>
      </c>
      <c r="B59" s="15" t="inlineStr">
        <is>
          <t>U08</t>
        </is>
      </c>
      <c r="C59" s="15" t="inlineStr">
        <is>
          <t>A07</t>
        </is>
      </c>
      <c r="D59" s="15" t="inlineStr">
        <is>
          <t>Propio</t>
        </is>
      </c>
      <c r="E59" s="15" t="inlineStr">
        <is>
          <t>5x2</t>
        </is>
      </c>
      <c r="F59" s="16" t="n">
        <v>47</v>
      </c>
      <c r="G59" s="16" t="n">
        <v>47</v>
      </c>
      <c r="H59" s="16" t="n"/>
      <c r="I59" s="17" t="n"/>
      <c r="J59" s="16" t="n"/>
      <c r="K59" s="16" t="n"/>
    </row>
    <row r="60">
      <c r="A60" s="15" t="inlineStr">
        <is>
          <t>2026-05</t>
        </is>
      </c>
      <c r="B60" s="15" t="inlineStr">
        <is>
          <t>U01</t>
        </is>
      </c>
      <c r="C60" s="15" t="inlineStr">
        <is>
          <t>A01</t>
        </is>
      </c>
      <c r="D60" s="15" t="inlineStr">
        <is>
          <t>Propio</t>
        </is>
      </c>
      <c r="E60" s="15" t="inlineStr">
        <is>
          <t>14x7</t>
        </is>
      </c>
      <c r="F60" s="16" t="n">
        <v>140</v>
      </c>
      <c r="G60" s="16" t="n">
        <v>140</v>
      </c>
      <c r="H60" s="16" t="n"/>
      <c r="I60" s="17" t="n"/>
      <c r="J60" s="16" t="n"/>
      <c r="K60" s="16" t="n"/>
    </row>
    <row r="61">
      <c r="A61" s="15" t="inlineStr">
        <is>
          <t>2026-05</t>
        </is>
      </c>
      <c r="B61" s="15" t="inlineStr">
        <is>
          <t>U01</t>
        </is>
      </c>
      <c r="C61" s="15" t="inlineStr">
        <is>
          <t>A02</t>
        </is>
      </c>
      <c r="D61" s="15" t="inlineStr">
        <is>
          <t>Propio</t>
        </is>
      </c>
      <c r="E61" s="15" t="inlineStr">
        <is>
          <t>14x7</t>
        </is>
      </c>
      <c r="F61" s="16" t="n">
        <v>17</v>
      </c>
      <c r="G61" s="16" t="n">
        <v>20</v>
      </c>
      <c r="H61" s="16" t="n"/>
      <c r="I61" s="17" t="n"/>
      <c r="J61" s="16" t="n"/>
      <c r="K61" s="16" t="n"/>
    </row>
    <row r="62">
      <c r="A62" s="15" t="inlineStr">
        <is>
          <t>2026-05</t>
        </is>
      </c>
      <c r="B62" s="15" t="inlineStr">
        <is>
          <t>U03</t>
        </is>
      </c>
      <c r="C62" s="15" t="inlineStr">
        <is>
          <t>A02</t>
        </is>
      </c>
      <c r="D62" s="15" t="inlineStr">
        <is>
          <t>Propio</t>
        </is>
      </c>
      <c r="E62" s="15" t="inlineStr">
        <is>
          <t>14x7</t>
        </is>
      </c>
      <c r="F62" s="16" t="n">
        <v>33</v>
      </c>
      <c r="G62" s="16" t="n">
        <v>33</v>
      </c>
      <c r="H62" s="16" t="n"/>
      <c r="I62" s="17" t="n"/>
      <c r="J62" s="16" t="n"/>
      <c r="K62" s="16" t="n"/>
    </row>
    <row r="63">
      <c r="A63" s="15" t="inlineStr">
        <is>
          <t>2026-05</t>
        </is>
      </c>
      <c r="B63" s="15" t="inlineStr">
        <is>
          <t>U05</t>
        </is>
      </c>
      <c r="C63" s="15" t="inlineStr">
        <is>
          <t>A01</t>
        </is>
      </c>
      <c r="D63" s="15" t="inlineStr">
        <is>
          <t>Propio</t>
        </is>
      </c>
      <c r="E63" s="15" t="inlineStr">
        <is>
          <t>5x2</t>
        </is>
      </c>
      <c r="F63" s="16" t="n">
        <v>7</v>
      </c>
      <c r="G63" s="16" t="n">
        <v>7</v>
      </c>
      <c r="H63" s="16" t="n"/>
      <c r="I63" s="17" t="n"/>
      <c r="J63" s="16" t="n"/>
      <c r="K63" s="16" t="n"/>
    </row>
    <row r="64">
      <c r="A64" s="15" t="inlineStr">
        <is>
          <t>2026-05</t>
        </is>
      </c>
      <c r="B64" s="15" t="inlineStr">
        <is>
          <t>U06</t>
        </is>
      </c>
      <c r="C64" s="15" t="inlineStr">
        <is>
          <t>A01</t>
        </is>
      </c>
      <c r="D64" s="15" t="inlineStr">
        <is>
          <t>Propio</t>
        </is>
      </c>
      <c r="E64" s="15" t="inlineStr">
        <is>
          <t>5x2</t>
        </is>
      </c>
      <c r="F64" s="16" t="n">
        <v>10</v>
      </c>
      <c r="G64" s="16" t="n">
        <v>67</v>
      </c>
      <c r="H64" s="16" t="n"/>
      <c r="I64" s="17" t="n"/>
      <c r="J64" s="16" t="n"/>
      <c r="K64" s="16" t="n"/>
    </row>
    <row r="65">
      <c r="A65" s="15" t="inlineStr">
        <is>
          <t>2026-05</t>
        </is>
      </c>
      <c r="B65" s="15" t="inlineStr">
        <is>
          <t>U07</t>
        </is>
      </c>
      <c r="C65" s="15" t="inlineStr">
        <is>
          <t>A03</t>
        </is>
      </c>
      <c r="D65" s="15" t="inlineStr">
        <is>
          <t>Propio</t>
        </is>
      </c>
      <c r="E65" s="15" t="inlineStr">
        <is>
          <t>20x10</t>
        </is>
      </c>
      <c r="F65" s="16" t="n">
        <v>29</v>
      </c>
      <c r="G65" s="16" t="n">
        <v>29</v>
      </c>
      <c r="H65" s="16" t="n"/>
      <c r="I65" s="17" t="n"/>
      <c r="J65" s="16" t="n"/>
      <c r="K65" s="16" t="n"/>
    </row>
    <row r="66">
      <c r="A66" s="15" t="inlineStr">
        <is>
          <t>2026-05</t>
        </is>
      </c>
      <c r="B66" s="15" t="inlineStr">
        <is>
          <t>U08</t>
        </is>
      </c>
      <c r="C66" s="15" t="inlineStr">
        <is>
          <t>A07</t>
        </is>
      </c>
      <c r="D66" s="15" t="inlineStr">
        <is>
          <t>Propio</t>
        </is>
      </c>
      <c r="E66" s="15" t="inlineStr">
        <is>
          <t>5x2</t>
        </is>
      </c>
      <c r="F66" s="16" t="n">
        <v>47</v>
      </c>
      <c r="G66" s="16" t="n">
        <v>47</v>
      </c>
      <c r="H66" s="16" t="n"/>
      <c r="I66" s="17" t="n"/>
      <c r="J66" s="16" t="n"/>
      <c r="K66" s="16" t="n"/>
    </row>
    <row r="67">
      <c r="A67" s="15" t="inlineStr">
        <is>
          <t>2026-06</t>
        </is>
      </c>
      <c r="B67" s="15" t="inlineStr">
        <is>
          <t>U01</t>
        </is>
      </c>
      <c r="C67" s="15" t="inlineStr">
        <is>
          <t>A01</t>
        </is>
      </c>
      <c r="D67" s="15" t="inlineStr">
        <is>
          <t>Propio</t>
        </is>
      </c>
      <c r="E67" s="15" t="inlineStr">
        <is>
          <t>14x7</t>
        </is>
      </c>
      <c r="F67" s="16" t="n">
        <v>140</v>
      </c>
      <c r="G67" s="16" t="n">
        <v>140</v>
      </c>
      <c r="H67" s="16" t="n"/>
      <c r="I67" s="17" t="n"/>
      <c r="J67" s="16" t="n"/>
      <c r="K67" s="16" t="n"/>
    </row>
    <row r="68">
      <c r="A68" s="15" t="inlineStr">
        <is>
          <t>2026-06</t>
        </is>
      </c>
      <c r="B68" s="15" t="inlineStr">
        <is>
          <t>U01</t>
        </is>
      </c>
      <c r="C68" s="15" t="inlineStr">
        <is>
          <t>A02</t>
        </is>
      </c>
      <c r="D68" s="15" t="inlineStr">
        <is>
          <t>Propio</t>
        </is>
      </c>
      <c r="E68" s="15" t="inlineStr">
        <is>
          <t>14x7</t>
        </is>
      </c>
      <c r="F68" s="16" t="n">
        <v>20</v>
      </c>
      <c r="G68" s="16" t="n">
        <v>20</v>
      </c>
      <c r="H68" s="16" t="n"/>
      <c r="I68" s="17" t="n"/>
      <c r="J68" s="16" t="n"/>
      <c r="K68" s="16" t="n"/>
    </row>
    <row r="69">
      <c r="A69" s="15" t="inlineStr">
        <is>
          <t>2026-06</t>
        </is>
      </c>
      <c r="B69" s="15" t="inlineStr">
        <is>
          <t>U03</t>
        </is>
      </c>
      <c r="C69" s="15" t="inlineStr">
        <is>
          <t>A02</t>
        </is>
      </c>
      <c r="D69" s="15" t="inlineStr">
        <is>
          <t>Propio</t>
        </is>
      </c>
      <c r="E69" s="15" t="inlineStr">
        <is>
          <t>14x7</t>
        </is>
      </c>
      <c r="F69" s="16" t="n">
        <v>33</v>
      </c>
      <c r="G69" s="16" t="n">
        <v>33</v>
      </c>
      <c r="H69" s="16" t="n"/>
      <c r="I69" s="17" t="n"/>
      <c r="J69" s="16" t="n"/>
      <c r="K69" s="16" t="n"/>
    </row>
    <row r="70">
      <c r="A70" s="15" t="inlineStr">
        <is>
          <t>2026-06</t>
        </is>
      </c>
      <c r="B70" s="15" t="inlineStr">
        <is>
          <t>U05</t>
        </is>
      </c>
      <c r="C70" s="15" t="inlineStr">
        <is>
          <t>A01</t>
        </is>
      </c>
      <c r="D70" s="15" t="inlineStr">
        <is>
          <t>Propio</t>
        </is>
      </c>
      <c r="E70" s="15" t="inlineStr">
        <is>
          <t>5x2</t>
        </is>
      </c>
      <c r="F70" s="16" t="n">
        <v>7</v>
      </c>
      <c r="G70" s="16" t="n">
        <v>7</v>
      </c>
      <c r="H70" s="16" t="n"/>
      <c r="I70" s="17" t="n"/>
      <c r="J70" s="16" t="n"/>
      <c r="K70" s="16" t="n"/>
    </row>
    <row r="71">
      <c r="A71" s="15" t="inlineStr">
        <is>
          <t>2026-06</t>
        </is>
      </c>
      <c r="B71" s="15" t="inlineStr">
        <is>
          <t>U06</t>
        </is>
      </c>
      <c r="C71" s="15" t="inlineStr">
        <is>
          <t>A01</t>
        </is>
      </c>
      <c r="D71" s="15" t="inlineStr">
        <is>
          <t>Propio</t>
        </is>
      </c>
      <c r="E71" s="15" t="inlineStr">
        <is>
          <t>5x2</t>
        </is>
      </c>
      <c r="F71" s="16" t="n">
        <v>10</v>
      </c>
      <c r="G71" s="16" t="n">
        <v>67</v>
      </c>
      <c r="H71" s="16" t="n"/>
      <c r="I71" s="17" t="n"/>
      <c r="J71" s="16" t="n"/>
      <c r="K71" s="16" t="n"/>
    </row>
    <row r="72">
      <c r="A72" s="15" t="inlineStr">
        <is>
          <t>2026-06</t>
        </is>
      </c>
      <c r="B72" s="15" t="inlineStr">
        <is>
          <t>U07</t>
        </is>
      </c>
      <c r="C72" s="15" t="inlineStr">
        <is>
          <t>A03</t>
        </is>
      </c>
      <c r="D72" s="15" t="inlineStr">
        <is>
          <t>Propio</t>
        </is>
      </c>
      <c r="E72" s="15" t="inlineStr">
        <is>
          <t>20x10</t>
        </is>
      </c>
      <c r="F72" s="16" t="n">
        <v>29</v>
      </c>
      <c r="G72" s="16" t="n">
        <v>29</v>
      </c>
      <c r="H72" s="16" t="n"/>
      <c r="I72" s="17" t="n"/>
      <c r="J72" s="16" t="n"/>
      <c r="K72" s="16" t="n"/>
    </row>
    <row r="73">
      <c r="A73" s="15" t="inlineStr">
        <is>
          <t>2026-06</t>
        </is>
      </c>
      <c r="B73" s="15" t="inlineStr">
        <is>
          <t>U08</t>
        </is>
      </c>
      <c r="C73" s="15" t="inlineStr">
        <is>
          <t>A07</t>
        </is>
      </c>
      <c r="D73" s="15" t="inlineStr">
        <is>
          <t>Propio</t>
        </is>
      </c>
      <c r="E73" s="15" t="inlineStr">
        <is>
          <t>5x2</t>
        </is>
      </c>
      <c r="F73" s="16" t="n">
        <v>47</v>
      </c>
      <c r="G73" s="16" t="n">
        <v>47</v>
      </c>
      <c r="H73" s="16" t="n"/>
      <c r="I73" s="17" t="n"/>
      <c r="J73" s="16" t="n"/>
      <c r="K73" s="16" t="n"/>
    </row>
    <row r="74">
      <c r="A74" s="15" t="inlineStr">
        <is>
          <t>2026-07</t>
        </is>
      </c>
      <c r="B74" s="15" t="inlineStr">
        <is>
          <t>U01</t>
        </is>
      </c>
      <c r="C74" s="15" t="inlineStr">
        <is>
          <t>A01</t>
        </is>
      </c>
      <c r="D74" s="15" t="inlineStr">
        <is>
          <t>Propio</t>
        </is>
      </c>
      <c r="E74" s="15" t="inlineStr">
        <is>
          <t>14x7</t>
        </is>
      </c>
      <c r="F74" s="16" t="n">
        <v>142</v>
      </c>
      <c r="G74" s="16" t="n">
        <v>160</v>
      </c>
      <c r="H74" s="16" t="n"/>
      <c r="I74" s="17" t="n"/>
      <c r="J74" s="16" t="n"/>
      <c r="K74" s="16" t="n"/>
    </row>
    <row r="75">
      <c r="A75" s="15" t="inlineStr">
        <is>
          <t>2026-07</t>
        </is>
      </c>
      <c r="B75" s="15" t="inlineStr">
        <is>
          <t>U01</t>
        </is>
      </c>
      <c r="C75" s="15" t="inlineStr">
        <is>
          <t>A02</t>
        </is>
      </c>
      <c r="D75" s="15" t="inlineStr">
        <is>
          <t>Propio</t>
        </is>
      </c>
      <c r="E75" s="15" t="inlineStr">
        <is>
          <t>14x7</t>
        </is>
      </c>
      <c r="F75" s="16" t="n">
        <v>21</v>
      </c>
      <c r="G75" s="16" t="n">
        <v>21</v>
      </c>
      <c r="H75" s="16" t="n"/>
      <c r="I75" s="17" t="n"/>
      <c r="J75" s="16" t="n"/>
      <c r="K75" s="16" t="n"/>
    </row>
    <row r="76">
      <c r="A76" s="15" t="inlineStr">
        <is>
          <t>2026-07</t>
        </is>
      </c>
      <c r="B76" s="15" t="inlineStr">
        <is>
          <t>U03</t>
        </is>
      </c>
      <c r="C76" s="15" t="inlineStr">
        <is>
          <t>A02</t>
        </is>
      </c>
      <c r="D76" s="15" t="inlineStr">
        <is>
          <t>Propio</t>
        </is>
      </c>
      <c r="E76" s="15" t="inlineStr">
        <is>
          <t>14x7</t>
        </is>
      </c>
      <c r="F76" s="16" t="n">
        <v>33</v>
      </c>
      <c r="G76" s="16" t="n">
        <v>33</v>
      </c>
      <c r="H76" s="16" t="n"/>
      <c r="I76" s="17" t="n"/>
      <c r="J76" s="16" t="n"/>
      <c r="K76" s="16" t="n"/>
    </row>
    <row r="77">
      <c r="A77" s="15" t="inlineStr">
        <is>
          <t>2026-07</t>
        </is>
      </c>
      <c r="B77" s="15" t="inlineStr">
        <is>
          <t>U05</t>
        </is>
      </c>
      <c r="C77" s="15" t="inlineStr">
        <is>
          <t>A01</t>
        </is>
      </c>
      <c r="D77" s="15" t="inlineStr">
        <is>
          <t>Propio</t>
        </is>
      </c>
      <c r="E77" s="15" t="inlineStr">
        <is>
          <t>5x2</t>
        </is>
      </c>
      <c r="F77" s="16" t="n">
        <v>7</v>
      </c>
      <c r="G77" s="16" t="n">
        <v>7</v>
      </c>
      <c r="H77" s="16" t="n"/>
      <c r="I77" s="17" t="n"/>
      <c r="J77" s="16" t="n"/>
      <c r="K77" s="16" t="n"/>
    </row>
    <row r="78">
      <c r="A78" s="15" t="inlineStr">
        <is>
          <t>2026-07</t>
        </is>
      </c>
      <c r="B78" s="15" t="inlineStr">
        <is>
          <t>U06</t>
        </is>
      </c>
      <c r="C78" s="15" t="inlineStr">
        <is>
          <t>A01</t>
        </is>
      </c>
      <c r="D78" s="15" t="inlineStr">
        <is>
          <t>Propio</t>
        </is>
      </c>
      <c r="E78" s="15" t="inlineStr">
        <is>
          <t>5x2</t>
        </is>
      </c>
      <c r="F78" s="16" t="n">
        <v>15</v>
      </c>
      <c r="G78" s="16" t="n">
        <v>67</v>
      </c>
      <c r="H78" s="16" t="n"/>
      <c r="I78" s="17" t="n"/>
      <c r="J78" s="16" t="n"/>
      <c r="K78" s="16" t="n"/>
    </row>
    <row r="79">
      <c r="A79" s="15" t="inlineStr">
        <is>
          <t>2026-07</t>
        </is>
      </c>
      <c r="B79" s="15" t="inlineStr">
        <is>
          <t>U07</t>
        </is>
      </c>
      <c r="C79" s="15" t="inlineStr">
        <is>
          <t>A03</t>
        </is>
      </c>
      <c r="D79" s="15" t="inlineStr">
        <is>
          <t>Propio</t>
        </is>
      </c>
      <c r="E79" s="15" t="inlineStr">
        <is>
          <t>20x10</t>
        </is>
      </c>
      <c r="F79" s="16" t="n">
        <v>29</v>
      </c>
      <c r="G79" s="16" t="n">
        <v>29</v>
      </c>
      <c r="H79" s="16" t="n"/>
      <c r="I79" s="17" t="n"/>
      <c r="J79" s="16" t="n"/>
      <c r="K79" s="16" t="n"/>
    </row>
    <row r="80">
      <c r="A80" s="15" t="inlineStr">
        <is>
          <t>2026-07</t>
        </is>
      </c>
      <c r="B80" s="15" t="inlineStr">
        <is>
          <t>U08</t>
        </is>
      </c>
      <c r="C80" s="15" t="inlineStr">
        <is>
          <t>A07</t>
        </is>
      </c>
      <c r="D80" s="15" t="inlineStr">
        <is>
          <t>Propio</t>
        </is>
      </c>
      <c r="E80" s="15" t="inlineStr">
        <is>
          <t>5x2</t>
        </is>
      </c>
      <c r="F80" s="16" t="n">
        <v>51</v>
      </c>
      <c r="G80" s="16" t="n">
        <v>51</v>
      </c>
      <c r="H80" s="16" t="n"/>
      <c r="I80" s="17" t="n"/>
      <c r="J80" s="16" t="n"/>
      <c r="K80" s="16" t="n"/>
    </row>
    <row r="81">
      <c r="A81" s="15" t="inlineStr">
        <is>
          <t>2026-08</t>
        </is>
      </c>
      <c r="B81" s="15" t="inlineStr">
        <is>
          <t>U01</t>
        </is>
      </c>
      <c r="C81" s="15" t="inlineStr">
        <is>
          <t>A01</t>
        </is>
      </c>
      <c r="D81" s="15" t="inlineStr">
        <is>
          <t>Propio</t>
        </is>
      </c>
      <c r="E81" s="15" t="inlineStr">
        <is>
          <t>14x7</t>
        </is>
      </c>
      <c r="F81" s="16" t="n">
        <v>142</v>
      </c>
      <c r="G81" s="16" t="n">
        <v>160</v>
      </c>
      <c r="H81" s="16" t="n"/>
      <c r="I81" s="17" t="n"/>
      <c r="J81" s="16" t="n"/>
      <c r="K81" s="16" t="n"/>
    </row>
    <row r="82">
      <c r="A82" s="15" t="inlineStr">
        <is>
          <t>2026-08</t>
        </is>
      </c>
      <c r="B82" s="15" t="inlineStr">
        <is>
          <t>U01</t>
        </is>
      </c>
      <c r="C82" s="15" t="inlineStr">
        <is>
          <t>A02</t>
        </is>
      </c>
      <c r="D82" s="15" t="inlineStr">
        <is>
          <t>Propio</t>
        </is>
      </c>
      <c r="E82" s="15" t="inlineStr">
        <is>
          <t>14x7</t>
        </is>
      </c>
      <c r="F82" s="16" t="n">
        <v>21</v>
      </c>
      <c r="G82" s="16" t="n">
        <v>21</v>
      </c>
      <c r="H82" s="16" t="n"/>
      <c r="I82" s="17" t="n"/>
      <c r="J82" s="16" t="n"/>
      <c r="K82" s="16" t="n"/>
    </row>
    <row r="83">
      <c r="A83" s="15" t="inlineStr">
        <is>
          <t>2026-08</t>
        </is>
      </c>
      <c r="B83" s="15" t="inlineStr">
        <is>
          <t>U03</t>
        </is>
      </c>
      <c r="C83" s="15" t="inlineStr">
        <is>
          <t>A02</t>
        </is>
      </c>
      <c r="D83" s="15" t="inlineStr">
        <is>
          <t>Propio</t>
        </is>
      </c>
      <c r="E83" s="15" t="inlineStr">
        <is>
          <t>14x7</t>
        </is>
      </c>
      <c r="F83" s="16" t="n">
        <v>33</v>
      </c>
      <c r="G83" s="16" t="n">
        <v>33</v>
      </c>
      <c r="H83" s="16" t="n"/>
      <c r="I83" s="17" t="n"/>
      <c r="J83" s="16" t="n"/>
      <c r="K83" s="16" t="n"/>
    </row>
    <row r="84">
      <c r="A84" s="15" t="inlineStr">
        <is>
          <t>2026-08</t>
        </is>
      </c>
      <c r="B84" s="15" t="inlineStr">
        <is>
          <t>U05</t>
        </is>
      </c>
      <c r="C84" s="15" t="inlineStr">
        <is>
          <t>A01</t>
        </is>
      </c>
      <c r="D84" s="15" t="inlineStr">
        <is>
          <t>Propio</t>
        </is>
      </c>
      <c r="E84" s="15" t="inlineStr">
        <is>
          <t>5x2</t>
        </is>
      </c>
      <c r="F84" s="16" t="n">
        <v>7</v>
      </c>
      <c r="G84" s="16" t="n">
        <v>7</v>
      </c>
      <c r="H84" s="16" t="n"/>
      <c r="I84" s="17" t="n"/>
      <c r="J84" s="16" t="n"/>
      <c r="K84" s="16" t="n"/>
    </row>
    <row r="85">
      <c r="A85" s="15" t="inlineStr">
        <is>
          <t>2026-08</t>
        </is>
      </c>
      <c r="B85" s="15" t="inlineStr">
        <is>
          <t>U06</t>
        </is>
      </c>
      <c r="C85" s="15" t="inlineStr">
        <is>
          <t>A01</t>
        </is>
      </c>
      <c r="D85" s="15" t="inlineStr">
        <is>
          <t>Propio</t>
        </is>
      </c>
      <c r="E85" s="15" t="inlineStr">
        <is>
          <t>5x2</t>
        </is>
      </c>
      <c r="F85" s="16" t="n">
        <v>19</v>
      </c>
      <c r="G85" s="16" t="n">
        <v>67</v>
      </c>
      <c r="H85" s="16" t="n"/>
      <c r="I85" s="17" t="n"/>
      <c r="J85" s="16" t="n"/>
      <c r="K85" s="16" t="n"/>
    </row>
    <row r="86">
      <c r="A86" s="15" t="inlineStr">
        <is>
          <t>2026-08</t>
        </is>
      </c>
      <c r="B86" s="15" t="inlineStr">
        <is>
          <t>U07</t>
        </is>
      </c>
      <c r="C86" s="15" t="inlineStr">
        <is>
          <t>A03</t>
        </is>
      </c>
      <c r="D86" s="15" t="inlineStr">
        <is>
          <t>Propio</t>
        </is>
      </c>
      <c r="E86" s="15" t="inlineStr">
        <is>
          <t>20x10</t>
        </is>
      </c>
      <c r="F86" s="16" t="n">
        <v>29</v>
      </c>
      <c r="G86" s="16" t="n">
        <v>29</v>
      </c>
      <c r="H86" s="16" t="n"/>
      <c r="I86" s="17" t="n"/>
      <c r="J86" s="16" t="n"/>
      <c r="K86" s="16" t="n"/>
    </row>
    <row r="87">
      <c r="A87" s="15" t="inlineStr">
        <is>
          <t>2026-08</t>
        </is>
      </c>
      <c r="B87" s="15" t="inlineStr">
        <is>
          <t>U08</t>
        </is>
      </c>
      <c r="C87" s="15" t="inlineStr">
        <is>
          <t>A07</t>
        </is>
      </c>
      <c r="D87" s="15" t="inlineStr">
        <is>
          <t>Propio</t>
        </is>
      </c>
      <c r="E87" s="15" t="inlineStr">
        <is>
          <t>5x2</t>
        </is>
      </c>
      <c r="F87" s="16" t="n">
        <v>51</v>
      </c>
      <c r="G87" s="16" t="n">
        <v>51</v>
      </c>
      <c r="H87" s="16" t="n"/>
      <c r="I87" s="17" t="n"/>
      <c r="J87" s="16" t="n"/>
      <c r="K87" s="16" t="n"/>
    </row>
  </sheetData>
  <autoFilter ref="A1:K1"/>
  <dataValidations count="11">
    <dataValidation sqref="A2:A5000" showDropDown="0" showInputMessage="0" showErrorMessage="1" allowBlank="1" errorTitle="Periodo mal escrito" error="El periodo se escribe AAAA-MM, por ejemplo 2026-08." promptTitle="Periodo" prompt="AAAA-MM (ejemplo: 2026-08)" type="textLength" operator="equal">
      <formula1>7</formula1>
    </dataValidation>
    <dataValidation sqref="B2:B5000" showDropDown="0" showInputMessage="0" showErrorMessage="1" allowBlank="1" errorTitle="Clave inexistente" error="Esa clave no existe en la hoja dim_unidad. Agrégala primero al catálogo." type="list">
      <formula1>=dim_unidad!$A$2:$A$5000</formula1>
    </dataValidation>
    <dataValidation sqref="C2:C5000" showDropDown="0" showInputMessage="0" showErrorMessage="1" allowBlank="1" errorTitle="Clave inexistente" error="Esa clave no existe en la hoja dim_area. Agrégala primero al catálogo." type="list">
      <formula1>=dim_area!$A$2:$A$5000</formula1>
    </dataValidation>
    <dataValidation sqref="D2:D5000" showDropDown="0" showInputMessage="0" showErrorMessage="1" allowBlank="1" errorTitle="Valor fuera de catálogo" error="Valores permitidos: Propio, Contratista" type="list">
      <formula1>"Propio,Contratista"</formula1>
    </dataValidation>
    <dataValidation sqref="E2:E5000" showDropDown="0" showInputMessage="0" showErrorMessage="1" allowBlank="1" errorTitle="Valor fuera de catálogo" error="Valores permitidos: 7x7, 4x3, 5x2, 14x7, 14x14, 20x10, Administrativo" type="list">
      <formula1>"7x7,4x3,5x2,14x7,14x14,20x10,Administrativo"</formula1>
    </dataValidation>
    <dataValidation sqref="F2:F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G2:G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H2:H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I2:I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J2:J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K2:K5000" showDropDown="0" showInputMessage="0" showErrorMessage="1" allowBlank="1" errorTitle="Valor inválido" error="Este campo no admite valores negativos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2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</cols>
  <sheetData>
    <row r="1" ht="30" customHeight="1">
      <c r="A1" s="14" t="inlineStr">
        <is>
          <t>periodo</t>
        </is>
      </c>
      <c r="B1" s="14" t="inlineStr">
        <is>
          <t>unidad_id</t>
        </is>
      </c>
      <c r="C1" s="14" t="inlineStr">
        <is>
          <t>area_id</t>
        </is>
      </c>
      <c r="D1" s="14" t="inlineStr">
        <is>
          <t>altas</t>
        </is>
      </c>
      <c r="E1" s="14" t="inlineStr">
        <is>
          <t>bajas_voluntarias</t>
        </is>
      </c>
      <c r="F1" s="14" t="inlineStr">
        <is>
          <t>bajas_involuntarias</t>
        </is>
      </c>
      <c r="G1" s="14" t="inlineStr">
        <is>
          <t>bajas_menos_90_dias</t>
        </is>
      </c>
      <c r="H1" s="14" t="inlineStr">
        <is>
          <t>vacantes_abiertas</t>
        </is>
      </c>
      <c r="I1" s="14" t="inlineStr">
        <is>
          <t>dias_cobertura_prom</t>
        </is>
      </c>
    </row>
  </sheetData>
  <autoFilter ref="A1:I1"/>
  <dataValidations count="9">
    <dataValidation sqref="A2:A5000" showDropDown="0" showInputMessage="0" showErrorMessage="1" allowBlank="1" errorTitle="Periodo mal escrito" error="El periodo se escribe AAAA-MM, por ejemplo 2026-08." promptTitle="Periodo" prompt="AAAA-MM (ejemplo: 2026-08)" type="textLength" operator="equal">
      <formula1>7</formula1>
    </dataValidation>
    <dataValidation sqref="B2:B5000" showDropDown="0" showInputMessage="0" showErrorMessage="1" allowBlank="1" errorTitle="Clave inexistente" error="Esa clave no existe en la hoja dim_unidad. Agrégala primero al catálogo." type="list">
      <formula1>=dim_unidad!$A$2:$A$5000</formula1>
    </dataValidation>
    <dataValidation sqref="C2:C5000" showDropDown="0" showInputMessage="0" showErrorMessage="1" allowBlank="1" errorTitle="Clave inexistente" error="Esa clave no existe en la hoja dim_area. Agrégala primero al catálogo." type="list">
      <formula1>=dim_area!$A$2:$A$5000</formula1>
    </dataValidation>
    <dataValidation sqref="D2:D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E2:E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F2:F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G2:G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H2:H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I2:I5000" showDropDown="0" showInputMessage="0" showErrorMessage="1" allowBlank="1" errorTitle="Valor inválido" error="Este campo no admite valores negativos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26" customWidth="1" min="3" max="3"/>
    <col width="15" customWidth="1" min="4" max="4"/>
    <col width="15" customWidth="1" min="5" max="5"/>
    <col width="13" customWidth="1" min="6" max="6"/>
    <col width="13" customWidth="1" min="7" max="7"/>
  </cols>
  <sheetData>
    <row r="1" ht="30" customHeight="1">
      <c r="A1" s="14" t="inlineStr">
        <is>
          <t>periodo</t>
        </is>
      </c>
      <c r="B1" s="14" t="inlineStr">
        <is>
          <t>unidad_id</t>
        </is>
      </c>
      <c r="C1" s="14" t="inlineStr">
        <is>
          <t>area_id</t>
        </is>
      </c>
      <c r="D1" s="14" t="inlineStr">
        <is>
          <t>horas_programadas</t>
        </is>
      </c>
      <c r="E1" s="14" t="inlineStr">
        <is>
          <t>horas_ausencia</t>
        </is>
      </c>
      <c r="F1" s="14" t="inlineStr">
        <is>
          <t>casos_incapacidad</t>
        </is>
      </c>
      <c r="G1" s="14" t="inlineStr">
        <is>
          <t>dias_incapacidad</t>
        </is>
      </c>
    </row>
  </sheetData>
  <autoFilter ref="A1:G1"/>
  <dataValidations count="7">
    <dataValidation sqref="A2:A5000" showDropDown="0" showInputMessage="0" showErrorMessage="1" allowBlank="1" errorTitle="Periodo mal escrito" error="El periodo se escribe AAAA-MM, por ejemplo 2026-08." promptTitle="Periodo" prompt="AAAA-MM (ejemplo: 2026-08)" type="textLength" operator="equal">
      <formula1>7</formula1>
    </dataValidation>
    <dataValidation sqref="B2:B5000" showDropDown="0" showInputMessage="0" showErrorMessage="1" allowBlank="1" errorTitle="Clave inexistente" error="Esa clave no existe en la hoja dim_unidad. Agrégala primero al catálogo." type="list">
      <formula1>=dim_unidad!$A$2:$A$5000</formula1>
    </dataValidation>
    <dataValidation sqref="C2:C5000" showDropDown="0" showInputMessage="0" showErrorMessage="1" allowBlank="1" errorTitle="Clave inexistente" error="Esa clave no existe en la hoja dim_area. Agrégala primero al catálogo." type="list">
      <formula1>=dim_area!$A$2:$A$5000</formula1>
    </dataValidation>
    <dataValidation sqref="D2:D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E2:E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F2:F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G2:G5000" showDropDown="0" showInputMessage="0" showErrorMessage="1" allowBlank="1" errorTitle="Valor inválido" error="Este campo no admite valores negativos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26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 ht="30" customHeight="1">
      <c r="A1" s="14" t="inlineStr">
        <is>
          <t>periodo</t>
        </is>
      </c>
      <c r="B1" s="14" t="inlineStr">
        <is>
          <t>unidad_id</t>
        </is>
      </c>
      <c r="C1" s="14" t="inlineStr">
        <is>
          <t>area_id</t>
        </is>
      </c>
      <c r="D1" s="14" t="inlineStr">
        <is>
          <t>costo_ordinario</t>
        </is>
      </c>
      <c r="E1" s="14" t="inlineStr">
        <is>
          <t>costo_horas_extra</t>
        </is>
      </c>
      <c r="F1" s="14" t="inlineStr">
        <is>
          <t>costo_prestaciones</t>
        </is>
      </c>
      <c r="G1" s="14" t="inlineStr">
        <is>
          <t>horas_ordinarias</t>
        </is>
      </c>
      <c r="H1" s="14" t="inlineStr">
        <is>
          <t>horas_extra</t>
        </is>
      </c>
      <c r="I1" s="14" t="inlineStr">
        <is>
          <t>presupuesto_costo_laboral</t>
        </is>
      </c>
      <c r="J1" s="14" t="inlineStr">
        <is>
          <t>toneladas_movidas</t>
        </is>
      </c>
    </row>
  </sheetData>
  <autoFilter ref="A1:J1"/>
  <dataValidations count="10">
    <dataValidation sqref="A2:A5000" showDropDown="0" showInputMessage="0" showErrorMessage="1" allowBlank="1" errorTitle="Periodo mal escrito" error="El periodo se escribe AAAA-MM, por ejemplo 2026-08." promptTitle="Periodo" prompt="AAAA-MM (ejemplo: 2026-08)" type="textLength" operator="equal">
      <formula1>7</formula1>
    </dataValidation>
    <dataValidation sqref="B2:B5000" showDropDown="0" showInputMessage="0" showErrorMessage="1" allowBlank="1" errorTitle="Clave inexistente" error="Esa clave no existe en la hoja dim_unidad. Agrégala primero al catálogo." type="list">
      <formula1>=dim_unidad!$A$2:$A$5000</formula1>
    </dataValidation>
    <dataValidation sqref="C2:C5000" showDropDown="0" showInputMessage="0" showErrorMessage="1" allowBlank="1" errorTitle="Clave inexistente" error="Esa clave no existe en la hoja dim_area. Agrégala primero al catálogo." type="list">
      <formula1>=dim_area!$A$2:$A$5000</formula1>
    </dataValidation>
    <dataValidation sqref="D2:D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E2:E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F2:F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G2:G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H2:H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I2:I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J2:J5000" showDropDown="0" showInputMessage="0" showErrorMessage="1" allowBlank="1" errorTitle="Valor inválido" error="Este campo no admite valores negativos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26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5" customWidth="1" min="9" max="9"/>
    <col width="13" customWidth="1" min="10" max="10"/>
    <col width="13" customWidth="1" min="11" max="11"/>
  </cols>
  <sheetData>
    <row r="1" ht="30" customHeight="1">
      <c r="A1" s="14" t="inlineStr">
        <is>
          <t>periodo</t>
        </is>
      </c>
      <c r="B1" s="14" t="inlineStr">
        <is>
          <t>unidad_id</t>
        </is>
      </c>
      <c r="C1" s="14" t="inlineStr">
        <is>
          <t>area_id</t>
        </is>
      </c>
      <c r="D1" s="14" t="inlineStr">
        <is>
          <t>horas_plan</t>
        </is>
      </c>
      <c r="E1" s="14" t="inlineStr">
        <is>
          <t>horas_real</t>
        </is>
      </c>
      <c r="F1" s="14" t="inlineStr">
        <is>
          <t>participantes</t>
        </is>
      </c>
      <c r="G1" s="14" t="inlineStr">
        <is>
          <t>dc3_requeridos</t>
        </is>
      </c>
      <c r="H1" s="14" t="inlineStr">
        <is>
          <t>dc3_emitidos</t>
        </is>
      </c>
      <c r="I1" s="14" t="inlineStr">
        <is>
          <t>inversion_mxn</t>
        </is>
      </c>
      <c r="J1" s="14" t="inlineStr">
        <is>
          <t>competencias_criticas_req</t>
        </is>
      </c>
      <c r="K1" s="14" t="inlineStr">
        <is>
          <t>competencias_criticas_ok</t>
        </is>
      </c>
    </row>
  </sheetData>
  <autoFilter ref="A1:K1"/>
  <dataValidations count="11">
    <dataValidation sqref="A2:A5000" showDropDown="0" showInputMessage="0" showErrorMessage="1" allowBlank="1" errorTitle="Periodo mal escrito" error="El periodo se escribe AAAA-MM, por ejemplo 2026-08." promptTitle="Periodo" prompt="AAAA-MM (ejemplo: 2026-08)" type="textLength" operator="equal">
      <formula1>7</formula1>
    </dataValidation>
    <dataValidation sqref="B2:B5000" showDropDown="0" showInputMessage="0" showErrorMessage="1" allowBlank="1" errorTitle="Clave inexistente" error="Esa clave no existe en la hoja dim_unidad. Agrégala primero al catálogo." type="list">
      <formula1>=dim_unidad!$A$2:$A$5000</formula1>
    </dataValidation>
    <dataValidation sqref="C2:C5000" showDropDown="0" showInputMessage="0" showErrorMessage="1" allowBlank="1" errorTitle="Clave inexistente" error="Esa clave no existe en la hoja dim_area. Agrégala primero al catálogo." type="list">
      <formula1>=dim_area!$A$2:$A$5000</formula1>
    </dataValidation>
    <dataValidation sqref="D2:D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E2:E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F2:F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G2:G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H2:H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I2:I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J2:J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K2:K5000" showDropDown="0" showInputMessage="0" showErrorMessage="1" allowBlank="1" errorTitle="Valor inválido" error="Este campo no admite valores negativos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2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5" customWidth="1" min="10" max="10"/>
    <col width="15" customWidth="1" min="11" max="11"/>
  </cols>
  <sheetData>
    <row r="1" ht="30" customHeight="1">
      <c r="A1" s="14" t="inlineStr">
        <is>
          <t>periodo</t>
        </is>
      </c>
      <c r="B1" s="14" t="inlineStr">
        <is>
          <t>unidad_id</t>
        </is>
      </c>
      <c r="C1" s="14" t="inlineStr">
        <is>
          <t>sindicato</t>
        </is>
      </c>
      <c r="D1" s="14" t="inlineStr">
        <is>
          <t>trabajadores_sindicalizados</t>
        </is>
      </c>
      <c r="E1" s="14" t="inlineStr">
        <is>
          <t>emplazamientos</t>
        </is>
      </c>
      <c r="F1" s="14" t="inlineStr">
        <is>
          <t>conflictos_abiertos</t>
        </is>
      </c>
      <c r="G1" s="14" t="inlineStr">
        <is>
          <t>conflictos_cerrados</t>
        </is>
      </c>
      <c r="H1" s="14" t="inlineStr">
        <is>
          <t>dias_a_revision_cct</t>
        </is>
      </c>
      <c r="I1" s="14" t="inlineStr">
        <is>
          <t>riesgo_sindical</t>
        </is>
      </c>
      <c r="J1" s="14" t="inlineStr">
        <is>
          <t>enps</t>
        </is>
      </c>
      <c r="K1" s="14" t="inlineStr">
        <is>
          <t>participacion_clima</t>
        </is>
      </c>
    </row>
  </sheetData>
  <autoFilter ref="A1:K1"/>
  <dataValidations count="10">
    <dataValidation sqref="A2:A5000" showDropDown="0" showInputMessage="0" showErrorMessage="1" allowBlank="1" errorTitle="Periodo mal escrito" error="El periodo se escribe AAAA-MM, por ejemplo 2026-08." promptTitle="Periodo" prompt="AAAA-MM (ejemplo: 2026-08)" type="textLength" operator="equal">
      <formula1>7</formula1>
    </dataValidation>
    <dataValidation sqref="B2:B5000" showDropDown="0" showInputMessage="0" showErrorMessage="1" allowBlank="1" errorTitle="Clave inexistente" error="Esa clave no existe en la hoja dim_unidad. Agrégala primero al catálogo." type="list">
      <formula1>=dim_unidad!$A$2:$A$5000</formula1>
    </dataValidation>
    <dataValidation sqref="D2:D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E2:E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F2:F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G2:G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H2:H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I2:I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J2:J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K2:K5000" showDropDown="0" showInputMessage="0" showErrorMessage="1" allowBlank="1" errorTitle="Valor inválido" error="Este campo no admite valores negativos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5" customWidth="1" min="3" max="3"/>
    <col width="26" customWidth="1" min="4" max="4"/>
    <col width="26" customWidth="1" min="5" max="5"/>
  </cols>
  <sheetData>
    <row r="1" ht="30" customHeight="1">
      <c r="A1" s="14" t="inlineStr">
        <is>
          <t>kpi</t>
        </is>
      </c>
      <c r="B1" s="14" t="inlineStr">
        <is>
          <t>nombre</t>
        </is>
      </c>
      <c r="C1" s="14" t="inlineStr">
        <is>
          <t>meta</t>
        </is>
      </c>
      <c r="D1" s="14" t="inlineStr">
        <is>
          <t>direccion</t>
        </is>
      </c>
      <c r="E1" s="14" t="inlineStr">
        <is>
          <t>unidad_medida</t>
        </is>
      </c>
    </row>
    <row r="2">
      <c r="A2" s="15" t="inlineStr">
        <is>
          <t>rotacion_anualizada</t>
        </is>
      </c>
      <c r="B2" s="15" t="inlineStr">
        <is>
          <t>Rotación anualizada</t>
        </is>
      </c>
      <c r="C2" s="17" t="n">
        <v>14</v>
      </c>
      <c r="D2" s="15" t="inlineStr">
        <is>
          <t>menor_mejor</t>
        </is>
      </c>
      <c r="E2" s="15" t="inlineStr">
        <is>
          <t>%</t>
        </is>
      </c>
    </row>
    <row r="3">
      <c r="A3" s="15" t="inlineStr">
        <is>
          <t>rotacion_voluntaria</t>
        </is>
      </c>
      <c r="B3" s="15" t="inlineStr">
        <is>
          <t>Rotación voluntaria anualizada</t>
        </is>
      </c>
      <c r="C3" s="17" t="n">
        <v>9.5</v>
      </c>
      <c r="D3" s="15" t="inlineStr">
        <is>
          <t>menor_mejor</t>
        </is>
      </c>
      <c r="E3" s="15" t="inlineStr">
        <is>
          <t>%</t>
        </is>
      </c>
    </row>
    <row r="4">
      <c r="A4" s="15" t="inlineStr">
        <is>
          <t>ausentismo</t>
        </is>
      </c>
      <c r="B4" s="15" t="inlineStr">
        <is>
          <t>Tasa de ausentismo</t>
        </is>
      </c>
      <c r="C4" s="17" t="n">
        <v>3</v>
      </c>
      <c r="D4" s="15" t="inlineStr">
        <is>
          <t>menor_mejor</t>
        </is>
      </c>
      <c r="E4" s="15" t="inlineStr">
        <is>
          <t>%</t>
        </is>
      </c>
    </row>
    <row r="5">
      <c r="A5" s="15" t="inlineStr">
        <is>
          <t>cobertura_plantilla</t>
        </is>
      </c>
      <c r="B5" s="15" t="inlineStr">
        <is>
          <t>Cobertura de plantilla autorizada</t>
        </is>
      </c>
      <c r="C5" s="17" t="n">
        <v>97</v>
      </c>
      <c r="D5" s="15" t="inlineStr">
        <is>
          <t>mayor_mejor</t>
        </is>
      </c>
      <c r="E5" s="15" t="inlineStr">
        <is>
          <t>%</t>
        </is>
      </c>
    </row>
    <row r="6">
      <c r="A6" s="15" t="inlineStr">
        <is>
          <t>cobertura_critica</t>
        </is>
      </c>
      <c r="B6" s="15" t="inlineStr">
        <is>
          <t>Cobertura de puestos críticos</t>
        </is>
      </c>
      <c r="C6" s="17" t="n">
        <v>95</v>
      </c>
      <c r="D6" s="15" t="inlineStr">
        <is>
          <t>mayor_mejor</t>
        </is>
      </c>
      <c r="E6" s="15" t="inlineStr">
        <is>
          <t>%</t>
        </is>
      </c>
    </row>
    <row r="7">
      <c r="A7" s="15" t="inlineStr">
        <is>
          <t>rotacion_temprana</t>
        </is>
      </c>
      <c r="B7" s="15" t="inlineStr">
        <is>
          <t>Rotación temprana (&lt;90 días)</t>
        </is>
      </c>
      <c r="C7" s="17" t="n">
        <v>18</v>
      </c>
      <c r="D7" s="15" t="inlineStr">
        <is>
          <t>menor_mejor</t>
        </is>
      </c>
      <c r="E7" s="15" t="inlineStr">
        <is>
          <t>%</t>
        </is>
      </c>
    </row>
    <row r="8">
      <c r="A8" s="15" t="inlineStr">
        <is>
          <t>dias_cobertura</t>
        </is>
      </c>
      <c r="B8" s="15" t="inlineStr">
        <is>
          <t>Días para cubrir vacante</t>
        </is>
      </c>
      <c r="C8" s="17" t="n">
        <v>32</v>
      </c>
      <c r="D8" s="15" t="inlineStr">
        <is>
          <t>menor_mejor</t>
        </is>
      </c>
      <c r="E8" s="15" t="inlineStr">
        <is>
          <t>días</t>
        </is>
      </c>
    </row>
    <row r="9">
      <c r="A9" s="15" t="inlineStr">
        <is>
          <t>pct_contratistas</t>
        </is>
      </c>
      <c r="B9" s="15" t="inlineStr">
        <is>
          <t>Contratistas sobre fuerza total</t>
        </is>
      </c>
      <c r="C9" s="17" t="n">
        <v>32</v>
      </c>
      <c r="D9" s="15" t="inlineStr">
        <is>
          <t>menor_mejor</t>
        </is>
      </c>
      <c r="E9" s="15" t="inlineStr">
        <is>
          <t>%</t>
        </is>
      </c>
    </row>
    <row r="10">
      <c r="A10" s="15" t="inlineStr">
        <is>
          <t>pct_horas_extra</t>
        </is>
      </c>
      <c r="B10" s="15" t="inlineStr">
        <is>
          <t>Horas extra sobre ordinarias</t>
        </is>
      </c>
      <c r="C10" s="17" t="n">
        <v>6</v>
      </c>
      <c r="D10" s="15" t="inlineStr">
        <is>
          <t>menor_mejor</t>
        </is>
      </c>
      <c r="E10" s="15" t="inlineStr">
        <is>
          <t>%</t>
        </is>
      </c>
    </row>
    <row r="11">
      <c r="A11" s="15" t="inlineStr">
        <is>
          <t>var_presupuesto</t>
        </is>
      </c>
      <c r="B11" s="15" t="inlineStr">
        <is>
          <t>Variación vs presupuesto</t>
        </is>
      </c>
      <c r="C11" s="17" t="n">
        <v>1.5</v>
      </c>
      <c r="D11" s="15" t="inlineStr">
        <is>
          <t>menor_mejor</t>
        </is>
      </c>
      <c r="E11" s="15" t="inlineStr">
        <is>
          <t>%</t>
        </is>
      </c>
    </row>
    <row r="12">
      <c r="A12" s="15" t="inlineStr">
        <is>
          <t>costo_por_tonelada</t>
        </is>
      </c>
      <c r="B12" s="15" t="inlineStr">
        <is>
          <t>Costo laboral por tonelada</t>
        </is>
      </c>
      <c r="C12" s="17" t="n">
        <v>48</v>
      </c>
      <c r="D12" s="15" t="inlineStr">
        <is>
          <t>menor_mejor</t>
        </is>
      </c>
      <c r="E12" s="15" t="inlineStr">
        <is>
          <t>MXN/t</t>
        </is>
      </c>
    </row>
    <row r="13">
      <c r="A13" s="15" t="inlineStr">
        <is>
          <t>productividad</t>
        </is>
      </c>
      <c r="B13" s="15" t="inlineStr">
        <is>
          <t>Productividad</t>
        </is>
      </c>
      <c r="C13" s="17" t="n">
        <v>4.4</v>
      </c>
      <c r="D13" s="15" t="inlineStr">
        <is>
          <t>mayor_mejor</t>
        </is>
      </c>
      <c r="E13" s="15" t="inlineStr">
        <is>
          <t>t/HH</t>
        </is>
      </c>
    </row>
    <row r="14">
      <c r="A14" s="15" t="inlineStr">
        <is>
          <t>cumplimiento_plan_cap</t>
        </is>
      </c>
      <c r="B14" s="15" t="inlineStr">
        <is>
          <t>Cumplimiento del plan de capacitación</t>
        </is>
      </c>
      <c r="C14" s="17" t="n">
        <v>95</v>
      </c>
      <c r="D14" s="15" t="inlineStr">
        <is>
          <t>mayor_mejor</t>
        </is>
      </c>
      <c r="E14" s="15" t="inlineStr">
        <is>
          <t>%</t>
        </is>
      </c>
    </row>
    <row r="15">
      <c r="A15" s="15" t="inlineStr">
        <is>
          <t>cumplimiento_dc3</t>
        </is>
      </c>
      <c r="B15" s="15" t="inlineStr">
        <is>
          <t>Cumplimiento DC-3</t>
        </is>
      </c>
      <c r="C15" s="17" t="n">
        <v>98</v>
      </c>
      <c r="D15" s="15" t="inlineStr">
        <is>
          <t>mayor_mejor</t>
        </is>
      </c>
      <c r="E15" s="15" t="inlineStr">
        <is>
          <t>%</t>
        </is>
      </c>
    </row>
    <row r="16">
      <c r="A16" s="15" t="inlineStr">
        <is>
          <t>horas_cap_por_persona</t>
        </is>
      </c>
      <c r="B16" s="15" t="inlineStr">
        <is>
          <t>Horas de capacitación por persona</t>
        </is>
      </c>
      <c r="C16" s="17" t="n">
        <v>2.1</v>
      </c>
      <c r="D16" s="15" t="inlineStr">
        <is>
          <t>mayor_mejor</t>
        </is>
      </c>
      <c r="E16" s="15" t="inlineStr">
        <is>
          <t>HH</t>
        </is>
      </c>
    </row>
    <row r="17">
      <c r="A17" s="15" t="inlineStr">
        <is>
          <t>cobertura_competencias</t>
        </is>
      </c>
      <c r="B17" s="15" t="inlineStr">
        <is>
          <t>Cobertura de matriz de competencias</t>
        </is>
      </c>
      <c r="C17" s="17" t="n">
        <v>95</v>
      </c>
      <c r="D17" s="15" t="inlineStr">
        <is>
          <t>mayor_mejor</t>
        </is>
      </c>
      <c r="E17" s="15" t="inlineStr">
        <is>
          <t>%</t>
        </is>
      </c>
    </row>
    <row r="18">
      <c r="A18" s="15" t="inlineStr">
        <is>
          <t>enps</t>
        </is>
      </c>
      <c r="B18" s="15" t="inlineStr">
        <is>
          <t>eNPS</t>
        </is>
      </c>
      <c r="C18" s="17" t="n">
        <v>30</v>
      </c>
      <c r="D18" s="15" t="inlineStr">
        <is>
          <t>mayor_mejor</t>
        </is>
      </c>
      <c r="E18" s="15" t="inlineStr">
        <is>
          <t>pts</t>
        </is>
      </c>
    </row>
  </sheetData>
  <autoFilter ref="A1:E1"/>
  <dataValidations count="2">
    <dataValidation sqref="C2:C5000" showDropDown="0" showInputMessage="0" showErrorMessage="1" allowBlank="1" errorTitle="Valor inválido" error="Este campo no admite valores negativos." type="decimal" operator="greaterThanOrEqual">
      <formula1>0</formula1>
    </dataValidation>
    <dataValidation sqref="D2:D5000" showDropDown="0" showInputMessage="0" showErrorMessage="1" allowBlank="1" errorTitle="Valor fuera de catálogo" error="Valores permitidos: menor_mejor, mayor_mejor" type="list">
      <formula1>"menor_mejor,mayor_mejor"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ETL Dashboard de RRHH</dc:creator>
  <dc:title xmlns:dc="http://purl.org/dc/elements/1.1/">Base de datos — Dashboard de RRHH</dc:title>
  <dcterms:created xmlns:dcterms="http://purl.org/dc/terms/" xmlns:xsi="http://www.w3.org/2001/XMLSchema-instance" xsi:type="dcterms:W3CDTF">2026-08-22T12:48:53Z</dcterms:created>
  <dcterms:modified xmlns:dcterms="http://purl.org/dc/terms/" xmlns:xsi="http://www.w3.org/2001/XMLSchema-instance" xsi:type="dcterms:W3CDTF">2026-08-22T12:48:53Z</dcterms:modified>
</cp:coreProperties>
</file>