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I-241\Downloads\Dashboard-RRHH\"/>
    </mc:Choice>
  </mc:AlternateContent>
  <xr:revisionPtr revIDLastSave="0" documentId="13_ncr:1_{024E0E09-FF22-4364-A970-65430DFFA767}" xr6:coauthVersionLast="47" xr6:coauthVersionMax="47" xr10:uidLastSave="{00000000-0000-0000-0000-000000000000}"/>
  <bookViews>
    <workbookView xWindow="-28905" yWindow="855" windowWidth="14610" windowHeight="15585" tabRatio="500" firstSheet="6" activeTab="6" xr2:uid="{00000000-000D-0000-FFFF-FFFF00000000}"/>
  </bookViews>
  <sheets>
    <sheet name="LEEME" sheetId="1" r:id="rId1"/>
    <sheet name="dim_unidad" sheetId="2" r:id="rId2"/>
    <sheet name="dim_area" sheetId="3" r:id="rId3"/>
    <sheet name="fact_plantilla" sheetId="4" r:id="rId4"/>
    <sheet name="fact_movimientos" sheetId="5" r:id="rId5"/>
    <sheet name="fact_ausentismo" sheetId="6" r:id="rId6"/>
    <sheet name="fact_nomina" sheetId="7" r:id="rId7"/>
    <sheet name="fact_capacitacion" sheetId="8" r:id="rId8"/>
    <sheet name="fact_relaciones_laborales" sheetId="9" r:id="rId9"/>
    <sheet name="metas" sheetId="10" r:id="rId10"/>
  </sheets>
  <definedNames>
    <definedName name="_xlnm._FilterDatabase" localSheetId="2" hidden="1">dim_area!$A$1:$D$1</definedName>
    <definedName name="_xlnm._FilterDatabase" localSheetId="1" hidden="1">dim_unidad!$A$1:$F$1</definedName>
    <definedName name="_xlnm._FilterDatabase" localSheetId="5" hidden="1">fact_ausentismo!$A$1:$G$1</definedName>
    <definedName name="_xlnm._FilterDatabase" localSheetId="7" hidden="1">fact_capacitacion!$A$1:$K$1</definedName>
    <definedName name="_xlnm._FilterDatabase" localSheetId="4" hidden="1">fact_movimientos!$A$1:$I$1</definedName>
    <definedName name="_xlnm._FilterDatabase" localSheetId="6" hidden="1">fact_nomina!$A$1:$J$87</definedName>
    <definedName name="_xlnm._FilterDatabase" localSheetId="3" hidden="1">fact_plantilla!$A$1:$K$87</definedName>
    <definedName name="_xlnm._FilterDatabase" localSheetId="8" hidden="1">fact_relaciones_laborales!$A$1:$K$1</definedName>
    <definedName name="_xlnm._FilterDatabase" localSheetId="9" hidden="1">metas!$A$1:$E$1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C2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Llave primaria de esta hoja: unidad_id.
No puede haber dos filas con la misma combinación.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Llave primaria de esta hoja: area_id.
No puede haber dos filas con la misma combinación.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unidad_id, area_id, tipo_relacion.
No puede haber dos filas con la misma combinación.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unidad_id, area_id.
No puede haber dos filas con la misma combinación.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unidad_id, area_id.
No puede haber dos filas con la misma combinación.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unidad_id, area_id.
No puede haber dos filas con la misma combinación.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7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unidad_id, area_id.
No puede haber dos filas con la misma combinación.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8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unidad_id.
No puede haber dos filas con la misma combinación.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900-000001000000}">
      <text>
        <r>
          <rPr>
            <sz val="11"/>
            <color theme="1"/>
            <rFont val="Calibri"/>
            <family val="2"/>
            <charset val="1"/>
          </rPr>
          <t>Llave primaria de esta hoja: kpi.
No puede haber dos filas con la misma combinación.</t>
        </r>
      </text>
    </comment>
  </commentList>
</comments>
</file>

<file path=xl/sharedStrings.xml><?xml version="1.0" encoding="utf-8"?>
<sst xmlns="http://schemas.openxmlformats.org/spreadsheetml/2006/main" count="1719" uniqueCount="208">
  <si>
    <t>BASE DE DATOS — DASHBOARD DE RRHH</t>
  </si>
  <si>
    <t>Minera Rio Tinto · una hoja por tabla · no borrar ni renombrar hojas</t>
  </si>
  <si>
    <t>CONFIGURACIÓN</t>
  </si>
  <si>
    <t>Origen de los datos</t>
  </si>
  <si>
    <t>DEMO</t>
  </si>
  <si>
    <t>DEMO enciende el aviso naranja de datos de demostración en el tablero. Cambia a REAL cuando cargues el cierre de la operación.</t>
  </si>
  <si>
    <t>Nombre de la organización</t>
  </si>
  <si>
    <t>Minera Rio Tinto</t>
  </si>
  <si>
    <t>Aparece bajo el título del tablero.</t>
  </si>
  <si>
    <t>REGISTROS CARGADOS</t>
  </si>
  <si>
    <t>Hoja</t>
  </si>
  <si>
    <t>Registros</t>
  </si>
  <si>
    <t>Columnas</t>
  </si>
  <si>
    <t>Qué contiene</t>
  </si>
  <si>
    <t>dim_unidad</t>
  </si>
  <si>
    <t>Catálogo de unidades mineras y corporativo</t>
  </si>
  <si>
    <t>dim_area</t>
  </si>
  <si>
    <t>Catálogo de áreas y si son críticas</t>
  </si>
  <si>
    <t>fact_plantilla</t>
  </si>
  <si>
    <t>Headcount, dotación autorizada y puestos críticos</t>
  </si>
  <si>
    <t>fact_movimientos</t>
  </si>
  <si>
    <t>Altas, bajas, vacantes y días de cobertura</t>
  </si>
  <si>
    <t>fact_ausentismo</t>
  </si>
  <si>
    <t>Horas programadas vs ausencia e incapacidades</t>
  </si>
  <si>
    <t>fact_nomina</t>
  </si>
  <si>
    <t>Costo laboral, horas extra y toneladas movidas</t>
  </si>
  <si>
    <t>fact_capacitacion</t>
  </si>
  <si>
    <t>Plan vs ejecutado, DC-3 y competencias</t>
  </si>
  <si>
    <t>fact_relaciones_laborales</t>
  </si>
  <si>
    <t>Sindicato, conflictos, eNPS y revisión de CCT</t>
  </si>
  <si>
    <t>metas</t>
  </si>
  <si>
    <t>Meta autorizada por indicador</t>
  </si>
  <si>
    <t>TOTAL</t>
  </si>
  <si>
    <t>CÓMO CAPTURAR</t>
  </si>
  <si>
    <t>1. Una fila por combinación de llave</t>
  </si>
  <si>
    <t>Cada hoja tiene una llave primaria. Dos filas con la misma llave hacen fallar la validación. La llave está anotada en el comentario del primer encabezado de cada hoja.</t>
  </si>
  <si>
    <t>2. El periodo se escribe AAAA-MM</t>
  </si>
  <si>
    <t>Por ejemplo 2026-08. La columna ya está formateada como texto para que Excel no la convierta en fecha. No cambies ese formato.</t>
  </si>
  <si>
    <t>3. No borrar ni renombrar hojas ni columnas</t>
  </si>
  <si>
    <t>El ETL valida los encabezados exactos y en el mismo orden. Si necesitas una columna nueva, se agrega también en etl/schema.py.</t>
  </si>
  <si>
    <t>4. Las celdas azules son de captura</t>
  </si>
  <si>
    <t>En esta hoja, azul significa que tú decides el valor. En las hojas de datos, todas las celdas son de captura.</t>
  </si>
  <si>
    <t>5. Las columnas de catálogo tienen desplegable</t>
  </si>
  <si>
    <t>tipo_relacion, turno, tipo_area, direccion, unidad_id y area_id validan contra una lista. Si el desplegable no ofrece lo que necesitas, primero agrégalo a la hoja de catálogo correspondiente.</t>
  </si>
  <si>
    <t>6. Montos en pesos, sin signo ni separador</t>
  </si>
  <si>
    <t>Escribe 1250000, no $1,250,000. El formato de celda ya muestra los separadores.</t>
  </si>
  <si>
    <t>7. Agregar meses, no sobrescribirlos</t>
  </si>
  <si>
    <t>El tablero calcula tasas anualizadas con ventana móvil de 12 meses. Borrar historia rompe esos indicadores. Se agregan filas del mes nuevo.</t>
  </si>
  <si>
    <t>8. Al terminar, subir este archivo a GitHub</t>
  </si>
  <si>
    <t>El repositorio valida y republica el tablero solo. Si la validación falla, el tablero conserva el cierre anterior en lugar de mostrar un dato equivocado.</t>
  </si>
  <si>
    <t>Diccionario de datos completo: plantillas/DICCIONARIO.md del repositorio.</t>
  </si>
  <si>
    <t>unidad_id</t>
  </si>
  <si>
    <t>unidad</t>
  </si>
  <si>
    <t>estado</t>
  </si>
  <si>
    <t>tipo_operacion</t>
  </si>
  <si>
    <t>mineral_principal</t>
  </si>
  <si>
    <t>es_corporativo</t>
  </si>
  <si>
    <t>U01</t>
  </si>
  <si>
    <t>Unidad Cieneguita</t>
  </si>
  <si>
    <t>Chihuahua</t>
  </si>
  <si>
    <t>Planta</t>
  </si>
  <si>
    <t>Oro-Plata</t>
  </si>
  <si>
    <t>U02</t>
  </si>
  <si>
    <t>Mina Realito</t>
  </si>
  <si>
    <t>Cielo abierto</t>
  </si>
  <si>
    <t>U03</t>
  </si>
  <si>
    <t>Mina Olivos</t>
  </si>
  <si>
    <t>U04</t>
  </si>
  <si>
    <t>Unidad Olivos</t>
  </si>
  <si>
    <t>U05</t>
  </si>
  <si>
    <t>Choix</t>
  </si>
  <si>
    <t>U06</t>
  </si>
  <si>
    <t>Unidad Namiquipa</t>
  </si>
  <si>
    <t>U07</t>
  </si>
  <si>
    <t>Geología Exploración</t>
  </si>
  <si>
    <t>Exploración</t>
  </si>
  <si>
    <t>Plomo-Zinc</t>
  </si>
  <si>
    <t>U08</t>
  </si>
  <si>
    <t>Corporativo</t>
  </si>
  <si>
    <t>N/A</t>
  </si>
  <si>
    <t>area_id</t>
  </si>
  <si>
    <t>area</t>
  </si>
  <si>
    <t>tipo_area</t>
  </si>
  <si>
    <t>es_critica</t>
  </si>
  <si>
    <t>A01</t>
  </si>
  <si>
    <t>Planta de Beneficio</t>
  </si>
  <si>
    <t>A02</t>
  </si>
  <si>
    <t>Mina Tajo</t>
  </si>
  <si>
    <t>Mina</t>
  </si>
  <si>
    <t>A03</t>
  </si>
  <si>
    <t>A04</t>
  </si>
  <si>
    <t>Mantenimiento</t>
  </si>
  <si>
    <t>A05</t>
  </si>
  <si>
    <t>Seguridad y Salud</t>
  </si>
  <si>
    <t>Seguridad</t>
  </si>
  <si>
    <t>A06</t>
  </si>
  <si>
    <t>Metalurgia</t>
  </si>
  <si>
    <t>A07</t>
  </si>
  <si>
    <t>Administración y RRHH</t>
  </si>
  <si>
    <t>Administración</t>
  </si>
  <si>
    <t>periodo</t>
  </si>
  <si>
    <t>tipo_relacion</t>
  </si>
  <si>
    <t>turno</t>
  </si>
  <si>
    <t>headcount</t>
  </si>
  <si>
    <t>dotacion_autorizada</t>
  </si>
  <si>
    <t>mujeres</t>
  </si>
  <si>
    <t>antiguedad_prom_meses</t>
  </si>
  <si>
    <t>puestos_criticos_totales</t>
  </si>
  <si>
    <t>puestos_criticos_cubiertos</t>
  </si>
  <si>
    <t>Propio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</si>
  <si>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</si>
  <si>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</si>
  <si>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</si>
  <si>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</si>
  <si>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</si>
  <si>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</si>
  <si>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</si>
  <si>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</si>
  <si>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</si>
  <si>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</si>
  <si>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</si>
  <si>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</si>
  <si>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altas</t>
  </si>
  <si>
    <t>bajas_voluntarias</t>
  </si>
  <si>
    <t>bajas_involuntarias</t>
  </si>
  <si>
    <t>bajas_menos_90_dias</t>
  </si>
  <si>
    <t>vacantes_abiertas</t>
  </si>
  <si>
    <t>dias_cobertura_prom</t>
  </si>
  <si>
    <t>horas_programadas</t>
  </si>
  <si>
    <t>horas_ausencia</t>
  </si>
  <si>
    <t>casos_incapacidad</t>
  </si>
  <si>
    <t>dias_incapacidad</t>
  </si>
  <si>
    <t>costo_ordinario</t>
  </si>
  <si>
    <t>costo_horas_extra</t>
  </si>
  <si>
    <t>costo_prestaciones</t>
  </si>
  <si>
    <t>horas_ordinarias</t>
  </si>
  <si>
    <t>horas_extra</t>
  </si>
  <si>
    <t>presupuesto_costo_laboral</t>
  </si>
  <si>
    <t>toneladas_movidas</t>
  </si>
  <si>
    <t>horas_plan</t>
  </si>
  <si>
    <t>horas_real</t>
  </si>
  <si>
    <t>participantes</t>
  </si>
  <si>
    <t>dc3_requeridos</t>
  </si>
  <si>
    <t>dc3_emitidos</t>
  </si>
  <si>
    <t>inversion_mxn</t>
  </si>
  <si>
    <t>competencias_criticas_req</t>
  </si>
  <si>
    <t>competencias_criticas_ok</t>
  </si>
  <si>
    <t>sindicato</t>
  </si>
  <si>
    <t>trabajadores_sindicalizados</t>
  </si>
  <si>
    <t>emplazamientos</t>
  </si>
  <si>
    <t>conflictos_abiertos</t>
  </si>
  <si>
    <t>conflictos_cerrados</t>
  </si>
  <si>
    <t>dias_a_revision_cct</t>
  </si>
  <si>
    <t>riesgo_sindical</t>
  </si>
  <si>
    <t>enps</t>
  </si>
  <si>
    <t>participacion_clima</t>
  </si>
  <si>
    <t>Por confirmar — Relaciones Laborales</t>
  </si>
  <si>
    <t>No sindicalizado</t>
  </si>
  <si>
    <t>kpi</t>
  </si>
  <si>
    <t>nombre</t>
  </si>
  <si>
    <t>meta</t>
  </si>
  <si>
    <t>direccion</t>
  </si>
  <si>
    <t>unidad_medida</t>
  </si>
  <si>
    <t>rotacion_anualizada</t>
  </si>
  <si>
    <t>Rotación anualizada</t>
  </si>
  <si>
    <t>menor_mejor</t>
  </si>
  <si>
    <t>%</t>
  </si>
  <si>
    <t>rotacion_voluntaria</t>
  </si>
  <si>
    <t>Rotación voluntaria anualizada</t>
  </si>
  <si>
    <t>ausentismo</t>
  </si>
  <si>
    <t>Tasa de ausentismo</t>
  </si>
  <si>
    <t>cobertura_plantilla</t>
  </si>
  <si>
    <t>Cobertura de plantilla autorizada</t>
  </si>
  <si>
    <t>mayor_mejor</t>
  </si>
  <si>
    <t>cobertura_critica</t>
  </si>
  <si>
    <t>Cobertura de puestos críticos</t>
  </si>
  <si>
    <t>rotacion_temprana</t>
  </si>
  <si>
    <t>Rotación temprana (&lt;90 días)</t>
  </si>
  <si>
    <t>dias_cobertura</t>
  </si>
  <si>
    <t>Días para cubrir vacante</t>
  </si>
  <si>
    <t>días</t>
  </si>
  <si>
    <t>pct_contratistas</t>
  </si>
  <si>
    <t>Contratistas sobre fuerza total</t>
  </si>
  <si>
    <t>pct_horas_extra</t>
  </si>
  <si>
    <t>Horas extra sobre ordinarias</t>
  </si>
  <si>
    <t>var_presupuesto</t>
  </si>
  <si>
    <t>Variación vs presupuesto</t>
  </si>
  <si>
    <t>costo_por_tonelada</t>
  </si>
  <si>
    <t>Costo laboral por tonelada</t>
  </si>
  <si>
    <t>MXN/t</t>
  </si>
  <si>
    <t>productividad</t>
  </si>
  <si>
    <t>Productividad</t>
  </si>
  <si>
    <t>t/HH</t>
  </si>
  <si>
    <t>cumplimiento_plan_cap</t>
  </si>
  <si>
    <t>Cumplimiento del plan de capacitación</t>
  </si>
  <si>
    <t>cumplimiento_dc3</t>
  </si>
  <si>
    <t>Cumplimiento DC-3</t>
  </si>
  <si>
    <t>horas_cap_por_persona</t>
  </si>
  <si>
    <t>Horas de capacitación por persona</t>
  </si>
  <si>
    <t>HH</t>
  </si>
  <si>
    <t>cobertura_competencias</t>
  </si>
  <si>
    <t>Cobertura de matriz de competencias</t>
  </si>
  <si>
    <t>eNPS</t>
  </si>
  <si>
    <t>pts</t>
  </si>
  <si>
    <t>2026-08</t>
  </si>
  <si>
    <t>14x7</t>
  </si>
  <si>
    <t>5x2</t>
  </si>
  <si>
    <t>20x10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</si>
</sst>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0"/>
      <color rgb="FF0000FF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sz val="8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CE5CD"/>
        <bgColor rgb="FFF2F2F2"/>
      </patternFill>
    </fill>
    <fill>
      <patternFill patternType="solid">
        <fgColor rgb="FFD9EAD3"/>
        <bgColor rgb="FFD5D5D5"/>
      </patternFill>
    </fill>
    <fill>
      <patternFill patternType="solid">
        <fgColor rgb="FF000000"/>
        <bgColor rgb="FF003300"/>
      </patternFill>
    </fill>
  </fills>
  <borders count="2">
    <border>
      <left/>
      <right/>
      <top/>
      <bottom/>
      <diagonal/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2" borderId="0" xfId="0" applyFont="1" applyFill="1"/>
    <xf numFmtId="0" fontId="3" fillId="2" borderId="0" xfId="0" applyFont="1" applyFill="1"/>
    <xf numFmtId="0" fontId="4" fillId="0" borderId="0" xfId="0" applyFont="1"/>
    <xf numFmtId="0" fontId="5" fillId="3" borderId="0" xfId="0" applyFont="1" applyFill="1"/>
    <xf numFmtId="0" fontId="4" fillId="0" borderId="0" xfId="0" applyFont="1" applyAlignment="1">
      <alignment vertical="top" wrapText="1"/>
    </xf>
    <xf numFmtId="0" fontId="5" fillId="4" borderId="0" xfId="0" applyFont="1" applyFill="1"/>
    <xf numFmtId="0" fontId="6" fillId="5" borderId="0" xfId="0" applyFont="1" applyFill="1"/>
    <xf numFmtId="0" fontId="4" fillId="0" borderId="1" xfId="0" applyFont="1" applyBorder="1"/>
    <xf numFmtId="3" fontId="4" fillId="0" borderId="1" xfId="0" applyNumberFormat="1" applyFont="1" applyBorder="1"/>
    <xf numFmtId="3" fontId="3" fillId="2" borderId="0" xfId="0" applyNumberFormat="1" applyFont="1" applyFill="1"/>
    <xf numFmtId="0" fontId="7" fillId="0" borderId="0" xfId="0" applyFont="1" applyAlignment="1">
      <alignment vertical="top" wrapText="1"/>
    </xf>
    <xf numFmtId="0" fontId="8" fillId="0" borderId="0" xfId="0" applyFont="1"/>
    <xf numFmtId="0" fontId="6" fillId="5" borderId="0" xfId="0" applyFont="1" applyFill="1" applyAlignment="1">
      <alignment horizontal="center" vertical="center" wrapText="1"/>
    </xf>
    <xf numFmtId="49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5D5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35"/>
  <sheetViews>
    <sheetView showGridLines="0" zoomScaleNormal="100" workbookViewId="0"/>
  </sheetViews>
  <sheetFormatPr baseColWidth="10" defaultColWidth="8.6640625" defaultRowHeight="14.4" x14ac:dyDescent="0.3"/>
  <cols>
    <col min="1" max="1" width="3" customWidth="1"/>
    <col min="2" max="2" width="34" customWidth="1"/>
    <col min="3" max="3" width="46" customWidth="1"/>
    <col min="4" max="4" width="16" customWidth="1"/>
    <col min="5" max="5" width="52" customWidth="1"/>
  </cols>
  <sheetData>
    <row r="2" spans="2:5" ht="17.399999999999999" customHeight="1" x14ac:dyDescent="0.3">
      <c r="B2" s="1" t="s">
        <v>0</v>
      </c>
      <c r="C2" s="2"/>
      <c r="D2" s="2"/>
      <c r="E2" s="2"/>
    </row>
    <row r="3" spans="2:5" ht="15" customHeight="1" x14ac:dyDescent="0.3">
      <c r="B3" s="3" t="s">
        <v>1</v>
      </c>
      <c r="C3" s="2"/>
      <c r="D3" s="2"/>
      <c r="E3" s="2"/>
    </row>
    <row r="5" spans="2:5" ht="15" customHeight="1" x14ac:dyDescent="0.3">
      <c r="B5" s="4" t="s">
        <v>2</v>
      </c>
      <c r="C5" s="2"/>
      <c r="E5" s="2"/>
    </row>
    <row r="7" spans="2:5" ht="35.1" customHeight="1" x14ac:dyDescent="0.3">
      <c r="B7" s="5" t="s">
        <v>3</v>
      </c>
      <c r="C7" s="6" t="s">
        <v>4</v>
      </c>
      <c r="E7" s="7" t="s">
        <v>5</v>
      </c>
    </row>
    <row r="8" spans="2:5" ht="15" customHeight="1" x14ac:dyDescent="0.3">
      <c r="B8" s="5" t="s">
        <v>6</v>
      </c>
      <c r="C8" s="8" t="s">
        <v>7</v>
      </c>
      <c r="E8" s="5" t="s">
        <v>8</v>
      </c>
    </row>
    <row r="10" spans="2:5" ht="15" customHeight="1" x14ac:dyDescent="0.3">
      <c r="B10" s="4" t="s">
        <v>9</v>
      </c>
      <c r="C10" s="2"/>
      <c r="D10" s="2"/>
      <c r="E10" s="2"/>
    </row>
    <row r="11" spans="2:5" ht="15" customHeight="1" x14ac:dyDescent="0.3">
      <c r="B11" s="9" t="s">
        <v>10</v>
      </c>
      <c r="C11" s="9" t="s">
        <v>11</v>
      </c>
      <c r="D11" s="9" t="s">
        <v>12</v>
      </c>
      <c r="E11" s="9" t="s">
        <v>13</v>
      </c>
    </row>
    <row r="12" spans="2:5" ht="15" customHeight="1" x14ac:dyDescent="0.3">
      <c r="B12" s="10" t="s">
        <v>14</v>
      </c>
      <c r="C12" s="11">
        <f>COUNTA(dim_unidad!A2:A5000)</f>
        <v>8</v>
      </c>
      <c r="D12" s="10">
        <f>COUNTA(dim_unidad!A1:F1)</f>
        <v>6</v>
      </c>
      <c r="E12" s="10" t="s">
        <v>15</v>
      </c>
    </row>
    <row r="13" spans="2:5" ht="15" customHeight="1" x14ac:dyDescent="0.3">
      <c r="B13" s="10" t="s">
        <v>16</v>
      </c>
      <c r="C13" s="11">
        <f>COUNTA(dim_area!A2:A5000)</f>
        <v>7</v>
      </c>
      <c r="D13" s="10">
        <f>COUNTA(dim_area!A1:D1)</f>
        <v>4</v>
      </c>
      <c r="E13" s="10" t="s">
        <v>17</v>
      </c>
    </row>
    <row r="14" spans="2:5" ht="15" customHeight="1" x14ac:dyDescent="0.3">
      <c r="B14" s="10" t="s">
        <v>18</v>
      </c>
      <c r="C14" s="11">
        <f>COUNTA(fact_plantilla!A2:A3443)</f>
        <v>86</v>
      </c>
      <c r="D14" s="10">
        <f>COUNTA(fact_plantilla!A1:K1)</f>
        <v>11</v>
      </c>
      <c r="E14" s="10" t="s">
        <v>19</v>
      </c>
    </row>
    <row r="15" spans="2:5" ht="15" customHeight="1" x14ac:dyDescent="0.3">
      <c r="B15" s="10" t="s">
        <v>20</v>
      </c>
      <c r="C15" s="11">
        <f>COUNTA(fact_movimientos!A2:A4270)</f>
        <v>86</v>
      </c>
      <c r="D15" s="10">
        <f>COUNTA(fact_movimientos!A1:I1)</f>
        <v>9</v>
      </c>
      <c r="E15" s="10" t="s">
        <v>21</v>
      </c>
    </row>
    <row r="16" spans="2:5" ht="15" customHeight="1" x14ac:dyDescent="0.3">
      <c r="B16" s="10" t="s">
        <v>22</v>
      </c>
      <c r="C16" s="11">
        <f>COUNTA(fact_ausentismo!A2:A4269)</f>
        <v>86</v>
      </c>
      <c r="D16" s="10">
        <f>COUNTA(fact_ausentismo!A1:G1)</f>
        <v>7</v>
      </c>
      <c r="E16" s="10" t="s">
        <v>23</v>
      </c>
    </row>
    <row r="17" spans="2:5" ht="15" customHeight="1" x14ac:dyDescent="0.3">
      <c r="B17" s="10" t="s">
        <v>24</v>
      </c>
      <c r="C17" s="11">
        <f>COUNTA(fact_nomina!A2:A4270)</f>
        <v>86</v>
      </c>
      <c r="D17" s="10">
        <f>COUNTA(fact_nomina!A1:J1)</f>
        <v>10</v>
      </c>
      <c r="E17" s="10" t="s">
        <v>25</v>
      </c>
    </row>
    <row r="18" spans="2:5" ht="15" customHeight="1" x14ac:dyDescent="0.3">
      <c r="B18" s="10" t="s">
        <v>26</v>
      </c>
      <c r="C18" s="11">
        <f>COUNTA(fact_capacitacion!A2:A4262)</f>
        <v>78</v>
      </c>
      <c r="D18" s="10">
        <f>COUNTA(fact_capacitacion!A1:K1)</f>
        <v>11</v>
      </c>
      <c r="E18" s="10" t="s">
        <v>27</v>
      </c>
    </row>
    <row r="19" spans="2:5" ht="15" customHeight="1" x14ac:dyDescent="0.3">
      <c r="B19" s="10" t="s">
        <v>28</v>
      </c>
      <c r="C19" s="11">
        <f>COUNTA(fact_relaciones_laborales!A2:A4817)</f>
        <v>9</v>
      </c>
      <c r="D19" s="10">
        <f>COUNTA(fact_relaciones_laborales!A1:K1)</f>
        <v>11</v>
      </c>
      <c r="E19" s="10" t="s">
        <v>29</v>
      </c>
    </row>
    <row r="20" spans="2:5" ht="15" customHeight="1" x14ac:dyDescent="0.3">
      <c r="B20" s="10" t="s">
        <v>30</v>
      </c>
      <c r="C20" s="11">
        <f>COUNTA(metas!A2:A5000)</f>
        <v>17</v>
      </c>
      <c r="D20" s="10">
        <f>COUNTA(metas!A1:E1)</f>
        <v>5</v>
      </c>
      <c r="E20" s="10" t="s">
        <v>31</v>
      </c>
    </row>
    <row r="21" spans="2:5" ht="15" customHeight="1" x14ac:dyDescent="0.3">
      <c r="B21" s="4" t="s">
        <v>32</v>
      </c>
      <c r="C21" s="12">
        <f>SUM(C12:C20)</f>
        <v>463</v>
      </c>
      <c r="D21" s="2"/>
      <c r="E21" s="2"/>
    </row>
    <row r="24" spans="2:5" ht="15" customHeight="1" x14ac:dyDescent="0.3">
      <c r="B24" s="4" t="s">
        <v>33</v>
      </c>
      <c r="C24" s="2"/>
      <c r="D24" s="2"/>
      <c r="E24" s="2"/>
    </row>
    <row r="26" spans="2:5" ht="30" customHeight="1" x14ac:dyDescent="0.3">
      <c r="B26" s="13" t="s">
        <v>34</v>
      </c>
      <c r="C26" s="19" t="s">
        <v>35</v>
      </c>
      <c r="D26" s="20"/>
      <c r="E26" s="20"/>
    </row>
    <row r="27" spans="2:5" ht="30" customHeight="1" x14ac:dyDescent="0.3">
      <c r="B27" s="13" t="s">
        <v>36</v>
      </c>
      <c r="C27" s="19" t="s">
        <v>37</v>
      </c>
      <c r="D27" s="20"/>
      <c r="E27" s="20"/>
    </row>
    <row r="28" spans="2:5" ht="30" customHeight="1" x14ac:dyDescent="0.3">
      <c r="B28" s="13" t="s">
        <v>38</v>
      </c>
      <c r="C28" s="19" t="s">
        <v>39</v>
      </c>
      <c r="D28" s="20"/>
      <c r="E28" s="20"/>
    </row>
    <row r="29" spans="2:5" ht="30" customHeight="1" x14ac:dyDescent="0.3">
      <c r="B29" s="13" t="s">
        <v>40</v>
      </c>
      <c r="C29" s="19" t="s">
        <v>41</v>
      </c>
      <c r="D29" s="20"/>
      <c r="E29" s="20"/>
    </row>
    <row r="30" spans="2:5" ht="30" customHeight="1" x14ac:dyDescent="0.3">
      <c r="B30" s="13" t="s">
        <v>42</v>
      </c>
      <c r="C30" s="19" t="s">
        <v>43</v>
      </c>
      <c r="D30" s="20"/>
      <c r="E30" s="20"/>
    </row>
    <row r="31" spans="2:5" ht="30" customHeight="1" x14ac:dyDescent="0.3">
      <c r="B31" s="13" t="s">
        <v>44</v>
      </c>
      <c r="C31" s="19" t="s">
        <v>45</v>
      </c>
      <c r="D31" s="20"/>
      <c r="E31" s="20"/>
    </row>
    <row r="32" spans="2:5" ht="30" customHeight="1" x14ac:dyDescent="0.3">
      <c r="B32" s="13" t="s">
        <v>46</v>
      </c>
      <c r="C32" s="19" t="s">
        <v>47</v>
      </c>
      <c r="D32" s="20"/>
      <c r="E32" s="20"/>
    </row>
    <row r="33" spans="2:5" ht="30" customHeight="1" x14ac:dyDescent="0.3">
      <c r="B33" s="13" t="s">
        <v>48</v>
      </c>
      <c r="C33" s="19" t="s">
        <v>49</v>
      </c>
      <c r="D33" s="20"/>
      <c r="E33" s="20"/>
    </row>
    <row r="35" spans="2:5" ht="15" customHeight="1" x14ac:dyDescent="0.3">
      <c r="B35" s="14" t="s">
        <v>50</v>
      </c>
    </row>
  </sheetData>
  <mergeCells count="8">
    <mergeCell ref="C33:E33"/>
    <mergeCell ref="C28:E28"/>
    <mergeCell ref="C27:E27"/>
    <mergeCell ref="C31:E31"/>
    <mergeCell ref="C26:E26"/>
    <mergeCell ref="C29:E29"/>
    <mergeCell ref="C30:E30"/>
    <mergeCell ref="C32:E32"/>
  </mergeCells>
  <dataValidations count="1">
    <dataValidation type="list" errorTitle="Valor no permitido" error="Escribe DEMO o REAL." promptTitle="Origen de los datos" prompt="DEMO o REAL" sqref="C7" xr:uid="{00000000-0002-0000-0000-000000000000}">
      <formula1>"DEMO,REAL"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zoomScaleNormal="100" workbookViewId="0">
      <pane ySplit="1" topLeftCell="A2" activePane="bottomLeft" state="frozen"/>
      <selection pane="bottomLeft" sqref="A1:F9"/>
    </sheetView>
  </sheetViews>
  <sheetFormatPr baseColWidth="10" defaultColWidth="8.6640625" defaultRowHeight="14.4" x14ac:dyDescent="0.3"/>
  <cols>
    <col min="1" max="5" width="26" customWidth="1"/>
    <col min="6" max="6" width="13" customWidth="1"/>
  </cols>
  <sheetData>
    <row r="1" spans="1:6" ht="30" customHeight="1" x14ac:dyDescent="0.3">
      <c r="A1" s="15" t="s">
        <v>51</v>
      </c>
      <c r="B1" s="15" t="s">
        <v>52</v>
      </c>
      <c r="C1" s="15" t="s">
        <v>53</v>
      </c>
      <c r="D1" s="15" t="s">
        <v>54</v>
      </c>
      <c r="E1" s="15" t="s">
        <v>55</v>
      </c>
      <c r="F1" s="15" t="s">
        <v>56</v>
      </c>
    </row>
    <row r="2" spans="1:6" ht="15" customHeight="1" x14ac:dyDescent="0.3">
      <c r="A2" s="16" t="s">
        <v>57</v>
      </c>
      <c r="B2" s="16" t="s">
        <v>58</v>
      </c>
      <c r="C2" s="16" t="s">
        <v>59</v>
      </c>
      <c r="D2" s="16" t="s">
        <v>60</v>
      </c>
      <c r="E2" s="16" t="s">
        <v>61</v>
      </c>
      <c r="F2" s="17">
        <v>0</v>
      </c>
    </row>
    <row r="3" spans="1:6" ht="15" customHeight="1" x14ac:dyDescent="0.3">
      <c r="A3" s="16" t="s">
        <v>62</v>
      </c>
      <c r="B3" s="16" t="s">
        <v>63</v>
      </c>
      <c r="C3" s="16" t="s">
        <v>59</v>
      </c>
      <c r="D3" s="16" t="s">
        <v>64</v>
      </c>
      <c r="E3" s="16" t="s">
        <v>61</v>
      </c>
      <c r="F3" s="17">
        <v>0</v>
      </c>
    </row>
    <row r="4" spans="1:6" ht="15" customHeight="1" x14ac:dyDescent="0.3">
      <c r="A4" s="16" t="s">
        <v>65</v>
      </c>
      <c r="B4" s="16" t="s">
        <v>66</v>
      </c>
      <c r="C4" s="16" t="s">
        <v>59</v>
      </c>
      <c r="D4" s="16" t="s">
        <v>64</v>
      </c>
      <c r="E4" s="16" t="s">
        <v>61</v>
      </c>
      <c r="F4" s="17">
        <v>0</v>
      </c>
    </row>
    <row r="5" spans="1:6" ht="15" customHeight="1" x14ac:dyDescent="0.3">
      <c r="A5" s="16" t="s">
        <v>67</v>
      </c>
      <c r="B5" s="16" t="s">
        <v>68</v>
      </c>
      <c r="C5" s="16" t="s">
        <v>59</v>
      </c>
      <c r="D5" s="16" t="s">
        <v>60</v>
      </c>
      <c r="E5" s="16" t="s">
        <v>61</v>
      </c>
      <c r="F5" s="17">
        <v>0</v>
      </c>
    </row>
    <row r="6" spans="1:6" ht="15" customHeight="1" x14ac:dyDescent="0.3">
      <c r="A6" s="16" t="s">
        <v>69</v>
      </c>
      <c r="B6" s="16" t="s">
        <v>70</v>
      </c>
      <c r="C6" s="16" t="s">
        <v>59</v>
      </c>
      <c r="D6" s="16" t="s">
        <v>60</v>
      </c>
      <c r="E6" s="16" t="s">
        <v>61</v>
      </c>
      <c r="F6" s="17">
        <v>0</v>
      </c>
    </row>
    <row r="7" spans="1:6" ht="15" customHeight="1" x14ac:dyDescent="0.3">
      <c r="A7" s="16" t="s">
        <v>71</v>
      </c>
      <c r="B7" s="16" t="s">
        <v>72</v>
      </c>
      <c r="C7" s="16" t="s">
        <v>59</v>
      </c>
      <c r="D7" s="16" t="s">
        <v>60</v>
      </c>
      <c r="E7" s="16" t="s">
        <v>61</v>
      </c>
      <c r="F7" s="17">
        <v>0</v>
      </c>
    </row>
    <row r="8" spans="1:6" ht="15" customHeight="1" x14ac:dyDescent="0.3">
      <c r="A8" s="16" t="s">
        <v>73</v>
      </c>
      <c r="B8" s="16" t="s">
        <v>74</v>
      </c>
      <c r="C8" s="16" t="s">
        <v>59</v>
      </c>
      <c r="D8" s="16" t="s">
        <v>75</v>
      </c>
      <c r="E8" s="16" t="s">
        <v>76</v>
      </c>
      <c r="F8" s="17">
        <v>0</v>
      </c>
    </row>
    <row r="9" spans="1:6" ht="15" customHeight="1" x14ac:dyDescent="0.3">
      <c r="A9" s="16" t="s">
        <v>77</v>
      </c>
      <c r="B9" s="16" t="s">
        <v>78</v>
      </c>
      <c r="C9" s="16" t="s">
        <v>59</v>
      </c>
      <c r="D9" s="16" t="s">
        <v>78</v>
      </c>
      <c r="E9" s="16" t="s">
        <v>79</v>
      </c>
      <c r="F9" s="17">
        <v>1</v>
      </c>
    </row>
  </sheetData>
  <autoFilter ref="A1:F1" xr:uid="{00000000-0009-0000-0000-000001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zoomScaleNormal="100" workbookViewId="0">
      <pane ySplit="1" topLeftCell="A2" activePane="bottomLeft" state="frozen"/>
      <selection pane="bottomLeft" sqref="A1:D8"/>
    </sheetView>
  </sheetViews>
  <sheetFormatPr baseColWidth="10" defaultColWidth="8.6640625" defaultRowHeight="14.4" x14ac:dyDescent="0.3"/>
  <cols>
    <col min="1" max="3" width="26" customWidth="1"/>
    <col min="4" max="4" width="13" customWidth="1"/>
  </cols>
  <sheetData>
    <row r="1" spans="1:4" ht="30" customHeight="1" x14ac:dyDescent="0.3">
      <c r="A1" s="15" t="s">
        <v>80</v>
      </c>
      <c r="B1" s="15" t="s">
        <v>81</v>
      </c>
      <c r="C1" s="15" t="s">
        <v>82</v>
      </c>
      <c r="D1" s="15" t="s">
        <v>83</v>
      </c>
    </row>
    <row r="2" spans="1:4" ht="15" customHeight="1" x14ac:dyDescent="0.3">
      <c r="A2" s="16" t="s">
        <v>84</v>
      </c>
      <c r="B2" s="16" t="s">
        <v>85</v>
      </c>
      <c r="C2" s="16" t="s">
        <v>60</v>
      </c>
      <c r="D2" s="17">
        <v>1</v>
      </c>
    </row>
    <row r="3" spans="1:4" ht="15" customHeight="1" x14ac:dyDescent="0.3">
      <c r="A3" s="16" t="s">
        <v>86</v>
      </c>
      <c r="B3" s="16" t="s">
        <v>87</v>
      </c>
      <c r="C3" s="16" t="s">
        <v>88</v>
      </c>
      <c r="D3" s="17">
        <v>1</v>
      </c>
    </row>
    <row r="4" spans="1:4" ht="15" customHeight="1" x14ac:dyDescent="0.3">
      <c r="A4" s="16" t="s">
        <v>89</v>
      </c>
      <c r="B4" s="16" t="s">
        <v>75</v>
      </c>
      <c r="C4" s="16" t="s">
        <v>75</v>
      </c>
      <c r="D4" s="17">
        <v>1</v>
      </c>
    </row>
    <row r="5" spans="1:4" ht="15" customHeight="1" x14ac:dyDescent="0.3">
      <c r="A5" s="16" t="s">
        <v>90</v>
      </c>
      <c r="B5" s="16" t="s">
        <v>91</v>
      </c>
      <c r="C5" s="16" t="s">
        <v>91</v>
      </c>
      <c r="D5" s="17">
        <v>1</v>
      </c>
    </row>
    <row r="6" spans="1:4" ht="15" customHeight="1" x14ac:dyDescent="0.3">
      <c r="A6" s="16" t="s">
        <v>92</v>
      </c>
      <c r="B6" s="16" t="s">
        <v>93</v>
      </c>
      <c r="C6" s="16" t="s">
        <v>94</v>
      </c>
      <c r="D6" s="17">
        <v>0</v>
      </c>
    </row>
    <row r="7" spans="1:4" ht="15" customHeight="1" x14ac:dyDescent="0.3">
      <c r="A7" s="16" t="s">
        <v>95</v>
      </c>
      <c r="B7" s="16" t="s">
        <v>96</v>
      </c>
      <c r="C7" s="16" t="s">
        <v>96</v>
      </c>
      <c r="D7" s="17">
        <v>1</v>
      </c>
    </row>
    <row r="8" spans="1:4" ht="15" customHeight="1" x14ac:dyDescent="0.3">
      <c r="A8" s="16" t="s">
        <v>97</v>
      </c>
      <c r="B8" s="16" t="s">
        <v>98</v>
      </c>
      <c r="C8" s="16" t="s">
        <v>99</v>
      </c>
      <c r="D8" s="17">
        <v>0</v>
      </c>
    </row>
  </sheetData>
  <autoFilter ref="A1:D1" xr:uid="{00000000-0009-0000-0000-000002000000}"/>
  <dataValidations count="1">
    <dataValidation type="list" allowBlank="1" showErrorMessage="1" errorTitle="Valor fuera de catálogo" error="Valores permitidos: Mina, Planta, Metalurgia, Exploración, Mantenimiento, Seguridad, Administración" sqref="C2:C1008" xr:uid="{00000000-0002-0000-0200-000000000000}">
      <formula1>"Mina,Planta,Metalurgia,Exploración,Mantenimiento,Seguridad,Administración"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5"/>
  <sheetViews>
    <sheetView zoomScaleNormal="100" workbookViewId="0">
      <pane ySplit="1" topLeftCell="A3" activePane="bottomLeft" state="frozen"/>
      <selection pane="bottomLeft" activeCell="C12" sqref="C12"/>
    </sheetView>
  </sheetViews>
  <sheetFormatPr baseColWidth="10" defaultColWidth="8.6640625" defaultRowHeight="14.4" x14ac:dyDescent="0.3"/>
  <cols>
    <col min="1" max="1" width="11" customWidth="1"/>
    <col min="2" max="5" width="26" customWidth="1"/>
    <col min="6" max="8" width="13" customWidth="1"/>
    <col min="9" max="9" width="15" customWidth="1"/>
    <col min="10" max="11" width="13" customWidth="1"/>
  </cols>
  <sheetData>
    <row r="1" spans="1:11" ht="30" customHeight="1" x14ac:dyDescent="0.3">
      <c r="A1" s="15" t="s">
        <v>100</v>
      </c>
      <c r="B1" s="15" t="s">
        <v>51</v>
      </c>
      <c r="C1" s="15" t="s">
        <v>80</v>
      </c>
      <c r="D1" s="15" t="s">
        <v>101</v>
      </c>
      <c r="E1" s="15" t="s">
        <v>102</v>
      </c>
      <c r="F1" s="15" t="s">
        <v>103</v>
      </c>
      <c r="G1" s="15" t="s">
        <v>104</v>
      </c>
      <c r="H1" s="15" t="s">
        <v>105</v>
      </c>
      <c r="I1" s="15" t="s">
        <v>106</v>
      </c>
      <c r="J1" s="15" t="s">
        <v>107</v>
      </c>
      <c r="K1" s="15" t="s">
        <v>108</v>
      </c>
    </row>
    <row r="2" spans="1:11" ht="15" customHeight="1" x14ac:dyDescent="0.3">
      <c r="A2" s="16" t="s">
        <v>110</v>
      </c>
      <c r="B2" s="16" t="s">
        <v>57</v>
      </c>
      <c r="C2" s="16" t="s">
        <v>84</v>
      </c>
      <c r="D2" s="16" t="s">
        <v>109</v>
      </c>
      <c r="E2" s="16" t="s">
        <v>205</v>
      </c>
      <c r="F2" s="17">
        <v>140</v>
      </c>
      <c r="G2" s="17">
        <v>140</v>
      </c>
      <c r="H2" s="17"/>
      <c r="I2" s="18"/>
      <c r="J2" s="17"/>
      <c r="K2" s="17"/>
    </row>
    <row r="3" spans="1:11" ht="15" customHeight="1" x14ac:dyDescent="0.3">
      <c r="A3" s="16" t="s">
        <v>110</v>
      </c>
      <c r="B3" s="16" t="s">
        <v>57</v>
      </c>
      <c r="C3" s="16" t="s">
        <v>86</v>
      </c>
      <c r="D3" s="16" t="s">
        <v>109</v>
      </c>
      <c r="E3" s="16" t="s">
        <v>205</v>
      </c>
      <c r="F3" s="17">
        <v>15</v>
      </c>
      <c r="G3" s="17">
        <v>15</v>
      </c>
      <c r="H3" s="17"/>
      <c r="I3" s="18"/>
      <c r="J3" s="17"/>
      <c r="K3" s="17"/>
    </row>
    <row r="4" spans="1:11" ht="15" customHeight="1" x14ac:dyDescent="0.3">
      <c r="A4" s="16" t="s">
        <v>110</v>
      </c>
      <c r="B4" s="16" t="s">
        <v>65</v>
      </c>
      <c r="C4" s="16" t="s">
        <v>86</v>
      </c>
      <c r="D4" s="16" t="s">
        <v>109</v>
      </c>
      <c r="E4" s="16" t="s">
        <v>205</v>
      </c>
      <c r="F4" s="17">
        <v>25</v>
      </c>
      <c r="G4" s="17">
        <v>25</v>
      </c>
      <c r="H4" s="17"/>
      <c r="I4" s="18"/>
      <c r="J4" s="17"/>
      <c r="K4" s="17"/>
    </row>
    <row r="5" spans="1:11" ht="15" customHeight="1" x14ac:dyDescent="0.3">
      <c r="A5" s="16" t="s">
        <v>110</v>
      </c>
      <c r="B5" s="16" t="s">
        <v>69</v>
      </c>
      <c r="C5" s="16" t="s">
        <v>84</v>
      </c>
      <c r="D5" s="16" t="s">
        <v>109</v>
      </c>
      <c r="E5" s="16" t="s">
        <v>206</v>
      </c>
      <c r="F5" s="17">
        <v>7</v>
      </c>
      <c r="G5" s="17">
        <v>7</v>
      </c>
      <c r="H5" s="17"/>
      <c r="I5" s="18"/>
      <c r="J5" s="17"/>
      <c r="K5" s="17"/>
    </row>
    <row r="6" spans="1:11" ht="15" customHeight="1" x14ac:dyDescent="0.3">
      <c r="A6" s="16" t="s">
        <v>110</v>
      </c>
      <c r="B6" s="16" t="s">
        <v>73</v>
      </c>
      <c r="C6" s="16" t="s">
        <v>89</v>
      </c>
      <c r="D6" s="16" t="s">
        <v>109</v>
      </c>
      <c r="E6" s="16" t="s">
        <v>207</v>
      </c>
      <c r="F6" s="17">
        <v>29</v>
      </c>
      <c r="G6" s="17">
        <v>29</v>
      </c>
      <c r="H6" s="17"/>
      <c r="I6" s="18"/>
      <c r="J6" s="17"/>
      <c r="K6" s="17"/>
    </row>
    <row r="7" spans="1:11" ht="15" customHeight="1" x14ac:dyDescent="0.3">
      <c r="A7" s="16" t="s">
        <v>110</v>
      </c>
      <c r="B7" s="16" t="s">
        <v>77</v>
      </c>
      <c r="C7" s="16" t="s">
        <v>97</v>
      </c>
      <c r="D7" s="16" t="s">
        <v>109</v>
      </c>
      <c r="E7" s="16" t="s">
        <v>206</v>
      </c>
      <c r="F7" s="17">
        <v>47</v>
      </c>
      <c r="G7" s="17">
        <v>47</v>
      </c>
      <c r="H7" s="17"/>
      <c r="I7" s="18"/>
      <c r="J7" s="17"/>
      <c r="K7" s="17"/>
    </row>
    <row r="8" spans="1:11" ht="15" customHeight="1" x14ac:dyDescent="0.3">
      <c r="A8" s="16" t="s">
        <v>111</v>
      </c>
      <c r="B8" s="16" t="s">
        <v>57</v>
      </c>
      <c r="C8" s="16" t="s">
        <v>84</v>
      </c>
      <c r="D8" s="16" t="s">
        <v>109</v>
      </c>
      <c r="E8" s="16" t="s">
        <v>205</v>
      </c>
      <c r="F8" s="17">
        <v>140</v>
      </c>
      <c r="G8" s="17">
        <v>140</v>
      </c>
      <c r="H8" s="17"/>
      <c r="I8" s="18"/>
      <c r="J8" s="17"/>
      <c r="K8" s="17"/>
    </row>
    <row r="9" spans="1:11" ht="15" customHeight="1" x14ac:dyDescent="0.3">
      <c r="A9" s="16" t="s">
        <v>111</v>
      </c>
      <c r="B9" s="16" t="s">
        <v>57</v>
      </c>
      <c r="C9" s="16" t="s">
        <v>86</v>
      </c>
      <c r="D9" s="16" t="s">
        <v>109</v>
      </c>
      <c r="E9" s="16" t="s">
        <v>205</v>
      </c>
      <c r="F9" s="17">
        <v>15</v>
      </c>
      <c r="G9" s="17">
        <v>15</v>
      </c>
      <c r="H9" s="17"/>
      <c r="I9" s="18"/>
      <c r="J9" s="17"/>
      <c r="K9" s="17"/>
    </row>
    <row r="10" spans="1:11" ht="15" customHeight="1" x14ac:dyDescent="0.3">
      <c r="A10" s="16" t="s">
        <v>111</v>
      </c>
      <c r="B10" s="16" t="s">
        <v>65</v>
      </c>
      <c r="C10" s="16" t="s">
        <v>86</v>
      </c>
      <c r="D10" s="16" t="s">
        <v>109</v>
      </c>
      <c r="E10" s="16" t="s">
        <v>205</v>
      </c>
      <c r="F10" s="17">
        <v>25</v>
      </c>
      <c r="G10" s="17">
        <v>25</v>
      </c>
      <c r="H10" s="17"/>
      <c r="I10" s="18"/>
      <c r="J10" s="17"/>
      <c r="K10" s="17"/>
    </row>
    <row r="11" spans="1:11" ht="15" customHeight="1" x14ac:dyDescent="0.3">
      <c r="A11" s="16" t="s">
        <v>111</v>
      </c>
      <c r="B11" s="16" t="s">
        <v>69</v>
      </c>
      <c r="C11" s="16" t="s">
        <v>84</v>
      </c>
      <c r="D11" s="16" t="s">
        <v>109</v>
      </c>
      <c r="E11" s="16" t="s">
        <v>206</v>
      </c>
      <c r="F11" s="17">
        <v>7</v>
      </c>
      <c r="G11" s="17">
        <v>7</v>
      </c>
      <c r="H11" s="17"/>
      <c r="I11" s="18"/>
      <c r="J11" s="17"/>
      <c r="K11" s="17"/>
    </row>
    <row r="12" spans="1:11" ht="15" customHeight="1" x14ac:dyDescent="0.3">
      <c r="A12" s="16" t="s">
        <v>111</v>
      </c>
      <c r="B12" s="16" t="s">
        <v>73</v>
      </c>
      <c r="C12" s="16" t="s">
        <v>89</v>
      </c>
      <c r="D12" s="16" t="s">
        <v>109</v>
      </c>
      <c r="E12" s="16" t="s">
        <v>207</v>
      </c>
      <c r="F12" s="17">
        <v>29</v>
      </c>
      <c r="G12" s="17">
        <v>29</v>
      </c>
      <c r="H12" s="17"/>
      <c r="I12" s="18"/>
      <c r="J12" s="17"/>
      <c r="K12" s="17"/>
    </row>
    <row r="13" spans="1:11" ht="15" customHeight="1" x14ac:dyDescent="0.3">
      <c r="A13" s="16" t="s">
        <v>111</v>
      </c>
      <c r="B13" s="16" t="s">
        <v>77</v>
      </c>
      <c r="C13" s="16" t="s">
        <v>97</v>
      </c>
      <c r="D13" s="16" t="s">
        <v>109</v>
      </c>
      <c r="E13" s="16" t="s">
        <v>206</v>
      </c>
      <c r="F13" s="17">
        <v>47</v>
      </c>
      <c r="G13" s="17">
        <v>47</v>
      </c>
      <c r="H13" s="17"/>
      <c r="I13" s="18"/>
      <c r="J13" s="17"/>
      <c r="K13" s="17"/>
    </row>
    <row r="14" spans="1:11" ht="15" customHeight="1" x14ac:dyDescent="0.3">
      <c r="A14" s="16" t="s">
        <v>112</v>
      </c>
      <c r="B14" s="16" t="s">
        <v>57</v>
      </c>
      <c r="C14" s="16" t="s">
        <v>84</v>
      </c>
      <c r="D14" s="16" t="s">
        <v>109</v>
      </c>
      <c r="E14" s="16" t="s">
        <v>205</v>
      </c>
      <c r="F14" s="17">
        <v>140</v>
      </c>
      <c r="G14" s="17">
        <v>140</v>
      </c>
      <c r="H14" s="17"/>
      <c r="I14" s="18"/>
      <c r="J14" s="17"/>
      <c r="K14" s="17"/>
    </row>
    <row r="15" spans="1:11" ht="15" customHeight="1" x14ac:dyDescent="0.3">
      <c r="A15" s="16" t="s">
        <v>112</v>
      </c>
      <c r="B15" s="16" t="s">
        <v>57</v>
      </c>
      <c r="C15" s="16" t="s">
        <v>86</v>
      </c>
      <c r="D15" s="16" t="s">
        <v>109</v>
      </c>
      <c r="E15" s="16" t="s">
        <v>205</v>
      </c>
      <c r="F15" s="17">
        <v>15</v>
      </c>
      <c r="G15" s="17">
        <v>15</v>
      </c>
      <c r="H15" s="17"/>
      <c r="I15" s="18"/>
      <c r="J15" s="17"/>
      <c r="K15" s="17"/>
    </row>
    <row r="16" spans="1:11" ht="15" customHeight="1" x14ac:dyDescent="0.3">
      <c r="A16" s="16" t="s">
        <v>112</v>
      </c>
      <c r="B16" s="16" t="s">
        <v>65</v>
      </c>
      <c r="C16" s="16" t="s">
        <v>86</v>
      </c>
      <c r="D16" s="16" t="s">
        <v>109</v>
      </c>
      <c r="E16" s="16" t="s">
        <v>205</v>
      </c>
      <c r="F16" s="17">
        <v>25</v>
      </c>
      <c r="G16" s="17">
        <v>25</v>
      </c>
      <c r="H16" s="17"/>
      <c r="I16" s="18"/>
      <c r="J16" s="17"/>
      <c r="K16" s="17"/>
    </row>
    <row r="17" spans="1:11" ht="15" customHeight="1" x14ac:dyDescent="0.3">
      <c r="A17" s="16" t="s">
        <v>112</v>
      </c>
      <c r="B17" s="16" t="s">
        <v>69</v>
      </c>
      <c r="C17" s="16" t="s">
        <v>84</v>
      </c>
      <c r="D17" s="16" t="s">
        <v>109</v>
      </c>
      <c r="E17" s="16" t="s">
        <v>206</v>
      </c>
      <c r="F17" s="17">
        <v>7</v>
      </c>
      <c r="G17" s="17">
        <v>7</v>
      </c>
      <c r="H17" s="17"/>
      <c r="I17" s="18"/>
      <c r="J17" s="17"/>
      <c r="K17" s="17"/>
    </row>
    <row r="18" spans="1:11" ht="15" customHeight="1" x14ac:dyDescent="0.3">
      <c r="A18" s="16" t="s">
        <v>112</v>
      </c>
      <c r="B18" s="16" t="s">
        <v>73</v>
      </c>
      <c r="C18" s="16" t="s">
        <v>89</v>
      </c>
      <c r="D18" s="16" t="s">
        <v>109</v>
      </c>
      <c r="E18" s="16" t="s">
        <v>207</v>
      </c>
      <c r="F18" s="17">
        <v>29</v>
      </c>
      <c r="G18" s="17">
        <v>29</v>
      </c>
      <c r="H18" s="17"/>
      <c r="I18" s="18"/>
      <c r="J18" s="17"/>
      <c r="K18" s="17"/>
    </row>
    <row r="19" spans="1:11" ht="15" customHeight="1" x14ac:dyDescent="0.3">
      <c r="A19" s="16" t="s">
        <v>112</v>
      </c>
      <c r="B19" s="16" t="s">
        <v>77</v>
      </c>
      <c r="C19" s="16" t="s">
        <v>97</v>
      </c>
      <c r="D19" s="16" t="s">
        <v>109</v>
      </c>
      <c r="E19" s="16" t="s">
        <v>206</v>
      </c>
      <c r="F19" s="17">
        <v>47</v>
      </c>
      <c r="G19" s="17">
        <v>47</v>
      </c>
      <c r="H19" s="17"/>
      <c r="I19" s="18"/>
      <c r="J19" s="17"/>
      <c r="K19" s="17"/>
    </row>
    <row r="20" spans="1:11" ht="15" customHeight="1" x14ac:dyDescent="0.3">
      <c r="A20" s="16" t="s">
        <v>113</v>
      </c>
      <c r="B20" s="16" t="s">
        <v>57</v>
      </c>
      <c r="C20" s="16" t="s">
        <v>84</v>
      </c>
      <c r="D20" s="16" t="s">
        <v>109</v>
      </c>
      <c r="E20" s="16" t="s">
        <v>205</v>
      </c>
      <c r="F20" s="17">
        <v>140</v>
      </c>
      <c r="G20" s="17">
        <v>140</v>
      </c>
      <c r="H20" s="17"/>
      <c r="I20" s="18"/>
      <c r="J20" s="17"/>
      <c r="K20" s="17"/>
    </row>
    <row r="21" spans="1:11" ht="15" customHeight="1" x14ac:dyDescent="0.3">
      <c r="A21" s="16" t="s">
        <v>113</v>
      </c>
      <c r="B21" s="16" t="s">
        <v>57</v>
      </c>
      <c r="C21" s="16" t="s">
        <v>86</v>
      </c>
      <c r="D21" s="16" t="s">
        <v>109</v>
      </c>
      <c r="E21" s="16" t="s">
        <v>205</v>
      </c>
      <c r="F21" s="17">
        <v>15</v>
      </c>
      <c r="G21" s="17">
        <v>15</v>
      </c>
      <c r="H21" s="17"/>
      <c r="I21" s="18"/>
      <c r="J21" s="17"/>
      <c r="K21" s="17"/>
    </row>
    <row r="22" spans="1:11" ht="15" customHeight="1" x14ac:dyDescent="0.3">
      <c r="A22" s="16" t="s">
        <v>113</v>
      </c>
      <c r="B22" s="16" t="s">
        <v>65</v>
      </c>
      <c r="C22" s="16" t="s">
        <v>86</v>
      </c>
      <c r="D22" s="16" t="s">
        <v>109</v>
      </c>
      <c r="E22" s="16" t="s">
        <v>205</v>
      </c>
      <c r="F22" s="17">
        <v>25</v>
      </c>
      <c r="G22" s="17">
        <v>25</v>
      </c>
      <c r="H22" s="17"/>
      <c r="I22" s="18"/>
      <c r="J22" s="17"/>
      <c r="K22" s="17"/>
    </row>
    <row r="23" spans="1:11" ht="15" customHeight="1" x14ac:dyDescent="0.3">
      <c r="A23" s="16" t="s">
        <v>113</v>
      </c>
      <c r="B23" s="16" t="s">
        <v>69</v>
      </c>
      <c r="C23" s="16" t="s">
        <v>84</v>
      </c>
      <c r="D23" s="16" t="s">
        <v>109</v>
      </c>
      <c r="E23" s="16" t="s">
        <v>206</v>
      </c>
      <c r="F23" s="17">
        <v>7</v>
      </c>
      <c r="G23" s="17">
        <v>7</v>
      </c>
      <c r="H23" s="17"/>
      <c r="I23" s="18"/>
      <c r="J23" s="17"/>
      <c r="K23" s="17"/>
    </row>
    <row r="24" spans="1:11" ht="15" customHeight="1" x14ac:dyDescent="0.3">
      <c r="A24" s="16" t="s">
        <v>113</v>
      </c>
      <c r="B24" s="16" t="s">
        <v>73</v>
      </c>
      <c r="C24" s="16" t="s">
        <v>89</v>
      </c>
      <c r="D24" s="16" t="s">
        <v>109</v>
      </c>
      <c r="E24" s="16" t="s">
        <v>207</v>
      </c>
      <c r="F24" s="17">
        <v>29</v>
      </c>
      <c r="G24" s="17">
        <v>29</v>
      </c>
      <c r="H24" s="17"/>
      <c r="I24" s="18"/>
      <c r="J24" s="17"/>
      <c r="K24" s="17"/>
    </row>
    <row r="25" spans="1:11" ht="15" customHeight="1" x14ac:dyDescent="0.3">
      <c r="A25" s="16" t="s">
        <v>113</v>
      </c>
      <c r="B25" s="16" t="s">
        <v>77</v>
      </c>
      <c r="C25" s="16" t="s">
        <v>97</v>
      </c>
      <c r="D25" s="16" t="s">
        <v>109</v>
      </c>
      <c r="E25" s="16" t="s">
        <v>206</v>
      </c>
      <c r="F25" s="17">
        <v>47</v>
      </c>
      <c r="G25" s="17">
        <v>47</v>
      </c>
      <c r="H25" s="17"/>
      <c r="I25" s="18"/>
      <c r="J25" s="17"/>
      <c r="K25" s="17"/>
    </row>
    <row r="26" spans="1:11" ht="15" customHeight="1" x14ac:dyDescent="0.3">
      <c r="A26" s="16" t="s">
        <v>114</v>
      </c>
      <c r="B26" s="16" t="s">
        <v>57</v>
      </c>
      <c r="C26" s="16" t="s">
        <v>84</v>
      </c>
      <c r="D26" s="16" t="s">
        <v>109</v>
      </c>
      <c r="E26" s="16" t="s">
        <v>205</v>
      </c>
      <c r="F26" s="17">
        <v>140</v>
      </c>
      <c r="G26" s="17">
        <v>140</v>
      </c>
      <c r="H26" s="17"/>
      <c r="I26" s="18"/>
      <c r="J26" s="17"/>
      <c r="K26" s="17"/>
    </row>
    <row r="27" spans="1:11" ht="15" customHeight="1" x14ac:dyDescent="0.3">
      <c r="A27" s="16" t="s">
        <v>114</v>
      </c>
      <c r="B27" s="16" t="s">
        <v>57</v>
      </c>
      <c r="C27" s="16" t="s">
        <v>86</v>
      </c>
      <c r="D27" s="16" t="s">
        <v>109</v>
      </c>
      <c r="E27" s="16" t="s">
        <v>205</v>
      </c>
      <c r="F27" s="17">
        <v>15</v>
      </c>
      <c r="G27" s="17">
        <v>15</v>
      </c>
      <c r="H27" s="17"/>
      <c r="I27" s="18"/>
      <c r="J27" s="17"/>
      <c r="K27" s="17"/>
    </row>
    <row r="28" spans="1:11" ht="15" customHeight="1" x14ac:dyDescent="0.3">
      <c r="A28" s="16" t="s">
        <v>114</v>
      </c>
      <c r="B28" s="16" t="s">
        <v>65</v>
      </c>
      <c r="C28" s="16" t="s">
        <v>86</v>
      </c>
      <c r="D28" s="16" t="s">
        <v>109</v>
      </c>
      <c r="E28" s="16" t="s">
        <v>205</v>
      </c>
      <c r="F28" s="17">
        <v>25</v>
      </c>
      <c r="G28" s="17">
        <v>25</v>
      </c>
      <c r="H28" s="17"/>
      <c r="I28" s="18"/>
      <c r="J28" s="17"/>
      <c r="K28" s="17"/>
    </row>
    <row r="29" spans="1:11" ht="15" customHeight="1" x14ac:dyDescent="0.3">
      <c r="A29" s="16" t="s">
        <v>114</v>
      </c>
      <c r="B29" s="16" t="s">
        <v>69</v>
      </c>
      <c r="C29" s="16" t="s">
        <v>84</v>
      </c>
      <c r="D29" s="16" t="s">
        <v>109</v>
      </c>
      <c r="E29" s="16" t="s">
        <v>206</v>
      </c>
      <c r="F29" s="17">
        <v>7</v>
      </c>
      <c r="G29" s="17">
        <v>7</v>
      </c>
      <c r="H29" s="17"/>
      <c r="I29" s="18"/>
      <c r="J29" s="17"/>
      <c r="K29" s="17"/>
    </row>
    <row r="30" spans="1:11" ht="15" customHeight="1" x14ac:dyDescent="0.3">
      <c r="A30" s="16" t="s">
        <v>114</v>
      </c>
      <c r="B30" s="16" t="s">
        <v>73</v>
      </c>
      <c r="C30" s="16" t="s">
        <v>89</v>
      </c>
      <c r="D30" s="16" t="s">
        <v>109</v>
      </c>
      <c r="E30" s="16" t="s">
        <v>207</v>
      </c>
      <c r="F30" s="17">
        <v>29</v>
      </c>
      <c r="G30" s="17">
        <v>29</v>
      </c>
      <c r="H30" s="17"/>
      <c r="I30" s="18"/>
      <c r="J30" s="17"/>
      <c r="K30" s="17"/>
    </row>
    <row r="31" spans="1:11" ht="15" customHeight="1" x14ac:dyDescent="0.3">
      <c r="A31" s="16" t="s">
        <v>114</v>
      </c>
      <c r="B31" s="16" t="s">
        <v>77</v>
      </c>
      <c r="C31" s="16" t="s">
        <v>97</v>
      </c>
      <c r="D31" s="16" t="s">
        <v>109</v>
      </c>
      <c r="E31" s="16" t="s">
        <v>206</v>
      </c>
      <c r="F31" s="17">
        <v>47</v>
      </c>
      <c r="G31" s="17">
        <v>47</v>
      </c>
      <c r="H31" s="17"/>
      <c r="I31" s="18"/>
      <c r="J31" s="17"/>
      <c r="K31" s="17"/>
    </row>
    <row r="32" spans="1:11" ht="15" customHeight="1" x14ac:dyDescent="0.3">
      <c r="A32" s="16" t="s">
        <v>115</v>
      </c>
      <c r="B32" s="16" t="s">
        <v>57</v>
      </c>
      <c r="C32" s="16" t="s">
        <v>84</v>
      </c>
      <c r="D32" s="16" t="s">
        <v>109</v>
      </c>
      <c r="E32" s="16" t="s">
        <v>205</v>
      </c>
      <c r="F32" s="17">
        <v>140</v>
      </c>
      <c r="G32" s="17">
        <v>140</v>
      </c>
      <c r="H32" s="17"/>
      <c r="I32" s="18"/>
      <c r="J32" s="17"/>
      <c r="K32" s="17"/>
    </row>
    <row r="33" spans="1:11" ht="15" customHeight="1" x14ac:dyDescent="0.3">
      <c r="A33" s="16" t="s">
        <v>115</v>
      </c>
      <c r="B33" s="16" t="s">
        <v>57</v>
      </c>
      <c r="C33" s="16" t="s">
        <v>86</v>
      </c>
      <c r="D33" s="16" t="s">
        <v>109</v>
      </c>
      <c r="E33" s="16" t="s">
        <v>205</v>
      </c>
      <c r="F33" s="17">
        <v>15</v>
      </c>
      <c r="G33" s="17">
        <v>15</v>
      </c>
      <c r="H33" s="17"/>
      <c r="I33" s="18"/>
      <c r="J33" s="17"/>
      <c r="K33" s="17"/>
    </row>
    <row r="34" spans="1:11" ht="15" customHeight="1" x14ac:dyDescent="0.3">
      <c r="A34" s="16" t="s">
        <v>115</v>
      </c>
      <c r="B34" s="16" t="s">
        <v>65</v>
      </c>
      <c r="C34" s="16" t="s">
        <v>86</v>
      </c>
      <c r="D34" s="16" t="s">
        <v>109</v>
      </c>
      <c r="E34" s="16" t="s">
        <v>205</v>
      </c>
      <c r="F34" s="17">
        <v>30</v>
      </c>
      <c r="G34" s="17">
        <v>30</v>
      </c>
      <c r="H34" s="17"/>
      <c r="I34" s="18"/>
      <c r="J34" s="17"/>
      <c r="K34" s="17"/>
    </row>
    <row r="35" spans="1:11" ht="15" customHeight="1" x14ac:dyDescent="0.3">
      <c r="A35" s="16" t="s">
        <v>115</v>
      </c>
      <c r="B35" s="16" t="s">
        <v>69</v>
      </c>
      <c r="C35" s="16" t="s">
        <v>84</v>
      </c>
      <c r="D35" s="16" t="s">
        <v>109</v>
      </c>
      <c r="E35" s="16" t="s">
        <v>206</v>
      </c>
      <c r="F35" s="17">
        <v>7</v>
      </c>
      <c r="G35" s="17">
        <v>7</v>
      </c>
      <c r="H35" s="17"/>
      <c r="I35" s="18"/>
      <c r="J35" s="17"/>
      <c r="K35" s="17"/>
    </row>
    <row r="36" spans="1:11" ht="15" customHeight="1" x14ac:dyDescent="0.3">
      <c r="A36" s="16" t="s">
        <v>115</v>
      </c>
      <c r="B36" s="16" t="s">
        <v>71</v>
      </c>
      <c r="C36" s="16" t="s">
        <v>84</v>
      </c>
      <c r="D36" s="16" t="s">
        <v>109</v>
      </c>
      <c r="E36" s="16" t="s">
        <v>206</v>
      </c>
      <c r="F36" s="17">
        <v>7</v>
      </c>
      <c r="G36" s="17">
        <v>7</v>
      </c>
      <c r="H36" s="17"/>
      <c r="I36" s="18"/>
      <c r="J36" s="17"/>
      <c r="K36" s="17"/>
    </row>
    <row r="37" spans="1:11" ht="15" customHeight="1" x14ac:dyDescent="0.3">
      <c r="A37" s="16" t="s">
        <v>115</v>
      </c>
      <c r="B37" s="16" t="s">
        <v>73</v>
      </c>
      <c r="C37" s="16" t="s">
        <v>89</v>
      </c>
      <c r="D37" s="16" t="s">
        <v>109</v>
      </c>
      <c r="E37" s="16" t="s">
        <v>207</v>
      </c>
      <c r="F37" s="17">
        <v>29</v>
      </c>
      <c r="G37" s="17">
        <v>29</v>
      </c>
      <c r="H37" s="17"/>
      <c r="I37" s="18"/>
      <c r="J37" s="17"/>
      <c r="K37" s="17"/>
    </row>
    <row r="38" spans="1:11" ht="15" customHeight="1" x14ac:dyDescent="0.3">
      <c r="A38" s="16" t="s">
        <v>115</v>
      </c>
      <c r="B38" s="16" t="s">
        <v>77</v>
      </c>
      <c r="C38" s="16" t="s">
        <v>97</v>
      </c>
      <c r="D38" s="16" t="s">
        <v>109</v>
      </c>
      <c r="E38" s="16" t="s">
        <v>206</v>
      </c>
      <c r="F38" s="17">
        <v>47</v>
      </c>
      <c r="G38" s="17">
        <v>47</v>
      </c>
      <c r="H38" s="17"/>
      <c r="I38" s="18"/>
      <c r="J38" s="17"/>
      <c r="K38" s="17"/>
    </row>
    <row r="39" spans="1:11" ht="15" customHeight="1" x14ac:dyDescent="0.3">
      <c r="A39" s="16" t="s">
        <v>116</v>
      </c>
      <c r="B39" s="16" t="s">
        <v>57</v>
      </c>
      <c r="C39" s="16" t="s">
        <v>84</v>
      </c>
      <c r="D39" s="16" t="s">
        <v>109</v>
      </c>
      <c r="E39" s="16" t="s">
        <v>205</v>
      </c>
      <c r="F39" s="17">
        <v>140</v>
      </c>
      <c r="G39" s="17">
        <v>140</v>
      </c>
      <c r="H39" s="17"/>
      <c r="I39" s="18"/>
      <c r="J39" s="17"/>
      <c r="K39" s="17"/>
    </row>
    <row r="40" spans="1:11" ht="15" customHeight="1" x14ac:dyDescent="0.3">
      <c r="A40" s="16" t="s">
        <v>116</v>
      </c>
      <c r="B40" s="16" t="s">
        <v>57</v>
      </c>
      <c r="C40" s="16" t="s">
        <v>86</v>
      </c>
      <c r="D40" s="16" t="s">
        <v>109</v>
      </c>
      <c r="E40" s="16" t="s">
        <v>205</v>
      </c>
      <c r="F40" s="17">
        <v>15</v>
      </c>
      <c r="G40" s="17">
        <v>15</v>
      </c>
      <c r="H40" s="17"/>
      <c r="I40" s="18"/>
      <c r="J40" s="17"/>
      <c r="K40" s="17"/>
    </row>
    <row r="41" spans="1:11" ht="15" customHeight="1" x14ac:dyDescent="0.3">
      <c r="A41" s="16" t="s">
        <v>116</v>
      </c>
      <c r="B41" s="16" t="s">
        <v>65</v>
      </c>
      <c r="C41" s="16" t="s">
        <v>86</v>
      </c>
      <c r="D41" s="16" t="s">
        <v>109</v>
      </c>
      <c r="E41" s="16" t="s">
        <v>205</v>
      </c>
      <c r="F41" s="17">
        <v>33</v>
      </c>
      <c r="G41" s="17">
        <v>33</v>
      </c>
      <c r="H41" s="17"/>
      <c r="I41" s="18"/>
      <c r="J41" s="17"/>
      <c r="K41" s="17"/>
    </row>
    <row r="42" spans="1:11" ht="15" customHeight="1" x14ac:dyDescent="0.3">
      <c r="A42" s="16" t="s">
        <v>116</v>
      </c>
      <c r="B42" s="16" t="s">
        <v>69</v>
      </c>
      <c r="C42" s="16" t="s">
        <v>84</v>
      </c>
      <c r="D42" s="16" t="s">
        <v>109</v>
      </c>
      <c r="E42" s="16" t="s">
        <v>206</v>
      </c>
      <c r="F42" s="17">
        <v>7</v>
      </c>
      <c r="G42" s="17">
        <v>7</v>
      </c>
      <c r="H42" s="17"/>
      <c r="I42" s="18"/>
      <c r="J42" s="17"/>
      <c r="K42" s="17"/>
    </row>
    <row r="43" spans="1:11" ht="15" customHeight="1" x14ac:dyDescent="0.3">
      <c r="A43" s="16" t="s">
        <v>116</v>
      </c>
      <c r="B43" s="16" t="s">
        <v>71</v>
      </c>
      <c r="C43" s="16" t="s">
        <v>84</v>
      </c>
      <c r="D43" s="16" t="s">
        <v>109</v>
      </c>
      <c r="E43" s="16" t="s">
        <v>206</v>
      </c>
      <c r="F43" s="17">
        <v>7</v>
      </c>
      <c r="G43" s="17">
        <v>7</v>
      </c>
      <c r="H43" s="17"/>
      <c r="I43" s="18"/>
      <c r="J43" s="17"/>
      <c r="K43" s="17"/>
    </row>
    <row r="44" spans="1:11" ht="15" customHeight="1" x14ac:dyDescent="0.3">
      <c r="A44" s="16" t="s">
        <v>116</v>
      </c>
      <c r="B44" s="16" t="s">
        <v>73</v>
      </c>
      <c r="C44" s="16" t="s">
        <v>89</v>
      </c>
      <c r="D44" s="16" t="s">
        <v>109</v>
      </c>
      <c r="E44" s="16" t="s">
        <v>207</v>
      </c>
      <c r="F44" s="17">
        <v>29</v>
      </c>
      <c r="G44" s="17">
        <v>29</v>
      </c>
      <c r="H44" s="17"/>
      <c r="I44" s="18"/>
      <c r="J44" s="17"/>
      <c r="K44" s="17"/>
    </row>
    <row r="45" spans="1:11" ht="15" customHeight="1" x14ac:dyDescent="0.3">
      <c r="A45" s="16" t="s">
        <v>116</v>
      </c>
      <c r="B45" s="16" t="s">
        <v>77</v>
      </c>
      <c r="C45" s="16" t="s">
        <v>97</v>
      </c>
      <c r="D45" s="16" t="s">
        <v>109</v>
      </c>
      <c r="E45" s="16" t="s">
        <v>206</v>
      </c>
      <c r="F45" s="17">
        <v>47</v>
      </c>
      <c r="G45" s="17">
        <v>47</v>
      </c>
      <c r="H45" s="17"/>
      <c r="I45" s="18"/>
      <c r="J45" s="17"/>
      <c r="K45" s="17"/>
    </row>
    <row r="46" spans="1:11" ht="15" customHeight="1" x14ac:dyDescent="0.3">
      <c r="A46" s="16" t="s">
        <v>117</v>
      </c>
      <c r="B46" s="16" t="s">
        <v>57</v>
      </c>
      <c r="C46" s="16" t="s">
        <v>84</v>
      </c>
      <c r="D46" s="16" t="s">
        <v>109</v>
      </c>
      <c r="E46" s="16" t="s">
        <v>205</v>
      </c>
      <c r="F46" s="17">
        <v>140</v>
      </c>
      <c r="G46" s="17">
        <v>140</v>
      </c>
      <c r="H46" s="17"/>
      <c r="I46" s="18"/>
      <c r="J46" s="17"/>
      <c r="K46" s="17"/>
    </row>
    <row r="47" spans="1:11" ht="15" customHeight="1" x14ac:dyDescent="0.3">
      <c r="A47" s="16" t="s">
        <v>117</v>
      </c>
      <c r="B47" s="16" t="s">
        <v>57</v>
      </c>
      <c r="C47" s="16" t="s">
        <v>86</v>
      </c>
      <c r="D47" s="16" t="s">
        <v>109</v>
      </c>
      <c r="E47" s="16" t="s">
        <v>205</v>
      </c>
      <c r="F47" s="17">
        <v>15</v>
      </c>
      <c r="G47" s="17">
        <v>15</v>
      </c>
      <c r="H47" s="17"/>
      <c r="I47" s="18"/>
      <c r="J47" s="17"/>
      <c r="K47" s="17"/>
    </row>
    <row r="48" spans="1:11" ht="15" customHeight="1" x14ac:dyDescent="0.3">
      <c r="A48" s="16" t="s">
        <v>117</v>
      </c>
      <c r="B48" s="16" t="s">
        <v>65</v>
      </c>
      <c r="C48" s="16" t="s">
        <v>86</v>
      </c>
      <c r="D48" s="16" t="s">
        <v>109</v>
      </c>
      <c r="E48" s="16" t="s">
        <v>205</v>
      </c>
      <c r="F48" s="17">
        <v>33</v>
      </c>
      <c r="G48" s="17">
        <v>33</v>
      </c>
      <c r="H48" s="17"/>
      <c r="I48" s="18"/>
      <c r="J48" s="17"/>
      <c r="K48" s="17"/>
    </row>
    <row r="49" spans="1:11" ht="15" customHeight="1" x14ac:dyDescent="0.3">
      <c r="A49" s="16" t="s">
        <v>117</v>
      </c>
      <c r="B49" s="16" t="s">
        <v>69</v>
      </c>
      <c r="C49" s="16" t="s">
        <v>84</v>
      </c>
      <c r="D49" s="16" t="s">
        <v>109</v>
      </c>
      <c r="E49" s="16" t="s">
        <v>206</v>
      </c>
      <c r="F49" s="17">
        <v>7</v>
      </c>
      <c r="G49" s="17">
        <v>7</v>
      </c>
      <c r="H49" s="17"/>
      <c r="I49" s="18"/>
      <c r="J49" s="17"/>
      <c r="K49" s="17"/>
    </row>
    <row r="50" spans="1:11" ht="15" customHeight="1" x14ac:dyDescent="0.3">
      <c r="A50" s="16" t="s">
        <v>117</v>
      </c>
      <c r="B50" s="16" t="s">
        <v>71</v>
      </c>
      <c r="C50" s="16" t="s">
        <v>84</v>
      </c>
      <c r="D50" s="16" t="s">
        <v>109</v>
      </c>
      <c r="E50" s="16" t="s">
        <v>206</v>
      </c>
      <c r="F50" s="17">
        <v>7</v>
      </c>
      <c r="G50" s="17">
        <v>7</v>
      </c>
      <c r="H50" s="17"/>
      <c r="I50" s="18"/>
      <c r="J50" s="17"/>
      <c r="K50" s="17"/>
    </row>
    <row r="51" spans="1:11" ht="15" customHeight="1" x14ac:dyDescent="0.3">
      <c r="A51" s="16" t="s">
        <v>117</v>
      </c>
      <c r="B51" s="16" t="s">
        <v>73</v>
      </c>
      <c r="C51" s="16" t="s">
        <v>89</v>
      </c>
      <c r="D51" s="16" t="s">
        <v>109</v>
      </c>
      <c r="E51" s="16" t="s">
        <v>207</v>
      </c>
      <c r="F51" s="17">
        <v>29</v>
      </c>
      <c r="G51" s="17">
        <v>29</v>
      </c>
      <c r="H51" s="17"/>
      <c r="I51" s="18"/>
      <c r="J51" s="17"/>
      <c r="K51" s="17"/>
    </row>
    <row r="52" spans="1:11" ht="15" customHeight="1" x14ac:dyDescent="0.3">
      <c r="A52" s="16" t="s">
        <v>117</v>
      </c>
      <c r="B52" s="16" t="s">
        <v>77</v>
      </c>
      <c r="C52" s="16" t="s">
        <v>97</v>
      </c>
      <c r="D52" s="16" t="s">
        <v>109</v>
      </c>
      <c r="E52" s="16" t="s">
        <v>206</v>
      </c>
      <c r="F52" s="17">
        <v>47</v>
      </c>
      <c r="G52" s="17">
        <v>47</v>
      </c>
      <c r="H52" s="17"/>
      <c r="I52" s="18"/>
      <c r="J52" s="17"/>
      <c r="K52" s="17"/>
    </row>
    <row r="53" spans="1:11" ht="15" customHeight="1" x14ac:dyDescent="0.3">
      <c r="A53" s="16" t="s">
        <v>118</v>
      </c>
      <c r="B53" s="16" t="s">
        <v>57</v>
      </c>
      <c r="C53" s="16" t="s">
        <v>84</v>
      </c>
      <c r="D53" s="16" t="s">
        <v>109</v>
      </c>
      <c r="E53" s="16" t="s">
        <v>205</v>
      </c>
      <c r="F53" s="17">
        <v>140</v>
      </c>
      <c r="G53" s="17">
        <v>140</v>
      </c>
      <c r="H53" s="17"/>
      <c r="I53" s="18"/>
      <c r="J53" s="17"/>
      <c r="K53" s="17"/>
    </row>
    <row r="54" spans="1:11" ht="15" customHeight="1" x14ac:dyDescent="0.3">
      <c r="A54" s="16" t="s">
        <v>118</v>
      </c>
      <c r="B54" s="16" t="s">
        <v>57</v>
      </c>
      <c r="C54" s="16" t="s">
        <v>86</v>
      </c>
      <c r="D54" s="16" t="s">
        <v>109</v>
      </c>
      <c r="E54" s="16" t="s">
        <v>205</v>
      </c>
      <c r="F54" s="17">
        <v>16</v>
      </c>
      <c r="G54" s="17">
        <v>20</v>
      </c>
      <c r="H54" s="17"/>
      <c r="I54" s="18"/>
      <c r="J54" s="17"/>
      <c r="K54" s="17"/>
    </row>
    <row r="55" spans="1:11" ht="15" customHeight="1" x14ac:dyDescent="0.3">
      <c r="A55" s="16" t="s">
        <v>118</v>
      </c>
      <c r="B55" s="16" t="s">
        <v>65</v>
      </c>
      <c r="C55" s="16" t="s">
        <v>86</v>
      </c>
      <c r="D55" s="16" t="s">
        <v>109</v>
      </c>
      <c r="E55" s="16" t="s">
        <v>205</v>
      </c>
      <c r="F55" s="17">
        <v>33</v>
      </c>
      <c r="G55" s="17">
        <v>33</v>
      </c>
      <c r="H55" s="17"/>
      <c r="I55" s="18"/>
      <c r="J55" s="17"/>
      <c r="K55" s="17"/>
    </row>
    <row r="56" spans="1:11" ht="15" customHeight="1" x14ac:dyDescent="0.3">
      <c r="A56" s="16" t="s">
        <v>118</v>
      </c>
      <c r="B56" s="16" t="s">
        <v>69</v>
      </c>
      <c r="C56" s="16" t="s">
        <v>84</v>
      </c>
      <c r="D56" s="16" t="s">
        <v>109</v>
      </c>
      <c r="E56" s="16" t="s">
        <v>206</v>
      </c>
      <c r="F56" s="17">
        <v>7</v>
      </c>
      <c r="G56" s="17">
        <v>7</v>
      </c>
      <c r="H56" s="17"/>
      <c r="I56" s="18"/>
      <c r="J56" s="17"/>
      <c r="K56" s="17"/>
    </row>
    <row r="57" spans="1:11" ht="15" customHeight="1" x14ac:dyDescent="0.3">
      <c r="A57" s="16" t="s">
        <v>118</v>
      </c>
      <c r="B57" s="16" t="s">
        <v>71</v>
      </c>
      <c r="C57" s="16" t="s">
        <v>84</v>
      </c>
      <c r="D57" s="16" t="s">
        <v>109</v>
      </c>
      <c r="E57" s="16" t="s">
        <v>206</v>
      </c>
      <c r="F57" s="17">
        <v>7</v>
      </c>
      <c r="G57" s="17">
        <v>7</v>
      </c>
      <c r="H57" s="17"/>
      <c r="I57" s="18"/>
      <c r="J57" s="17"/>
      <c r="K57" s="17"/>
    </row>
    <row r="58" spans="1:11" ht="15" customHeight="1" x14ac:dyDescent="0.3">
      <c r="A58" s="16" t="s">
        <v>118</v>
      </c>
      <c r="B58" s="16" t="s">
        <v>73</v>
      </c>
      <c r="C58" s="16" t="s">
        <v>89</v>
      </c>
      <c r="D58" s="16" t="s">
        <v>109</v>
      </c>
      <c r="E58" s="16" t="s">
        <v>207</v>
      </c>
      <c r="F58" s="17">
        <v>29</v>
      </c>
      <c r="G58" s="17">
        <v>29</v>
      </c>
      <c r="H58" s="17"/>
      <c r="I58" s="18"/>
      <c r="J58" s="17"/>
      <c r="K58" s="17"/>
    </row>
    <row r="59" spans="1:11" ht="15" customHeight="1" x14ac:dyDescent="0.3">
      <c r="A59" s="16" t="s">
        <v>118</v>
      </c>
      <c r="B59" s="16" t="s">
        <v>77</v>
      </c>
      <c r="C59" s="16" t="s">
        <v>97</v>
      </c>
      <c r="D59" s="16" t="s">
        <v>109</v>
      </c>
      <c r="E59" s="16" t="s">
        <v>206</v>
      </c>
      <c r="F59" s="17">
        <v>47</v>
      </c>
      <c r="G59" s="17">
        <v>47</v>
      </c>
      <c r="H59" s="17"/>
      <c r="I59" s="18"/>
      <c r="J59" s="17"/>
      <c r="K59" s="17"/>
    </row>
    <row r="60" spans="1:11" ht="15" customHeight="1" x14ac:dyDescent="0.3">
      <c r="A60" s="16" t="s">
        <v>119</v>
      </c>
      <c r="B60" s="16" t="s">
        <v>57</v>
      </c>
      <c r="C60" s="16" t="s">
        <v>84</v>
      </c>
      <c r="D60" s="16" t="s">
        <v>109</v>
      </c>
      <c r="E60" s="16" t="s">
        <v>205</v>
      </c>
      <c r="F60" s="17">
        <v>140</v>
      </c>
      <c r="G60" s="17">
        <v>140</v>
      </c>
      <c r="H60" s="17"/>
      <c r="I60" s="18"/>
      <c r="J60" s="17"/>
      <c r="K60" s="17"/>
    </row>
    <row r="61" spans="1:11" ht="15" customHeight="1" x14ac:dyDescent="0.3">
      <c r="A61" s="16" t="s">
        <v>119</v>
      </c>
      <c r="B61" s="16" t="s">
        <v>57</v>
      </c>
      <c r="C61" s="16" t="s">
        <v>86</v>
      </c>
      <c r="D61" s="16" t="s">
        <v>109</v>
      </c>
      <c r="E61" s="16" t="s">
        <v>205</v>
      </c>
      <c r="F61" s="17">
        <v>17</v>
      </c>
      <c r="G61" s="17">
        <v>20</v>
      </c>
      <c r="H61" s="17"/>
      <c r="I61" s="18"/>
      <c r="J61" s="17"/>
      <c r="K61" s="17"/>
    </row>
    <row r="62" spans="1:11" ht="15" customHeight="1" x14ac:dyDescent="0.3">
      <c r="A62" s="16" t="s">
        <v>119</v>
      </c>
      <c r="B62" s="16" t="s">
        <v>65</v>
      </c>
      <c r="C62" s="16" t="s">
        <v>86</v>
      </c>
      <c r="D62" s="16" t="s">
        <v>109</v>
      </c>
      <c r="E62" s="16" t="s">
        <v>205</v>
      </c>
      <c r="F62" s="17">
        <v>33</v>
      </c>
      <c r="G62" s="17">
        <v>33</v>
      </c>
      <c r="H62" s="17"/>
      <c r="I62" s="18"/>
      <c r="J62" s="17"/>
      <c r="K62" s="17"/>
    </row>
    <row r="63" spans="1:11" ht="15" customHeight="1" x14ac:dyDescent="0.3">
      <c r="A63" s="16" t="s">
        <v>119</v>
      </c>
      <c r="B63" s="16" t="s">
        <v>69</v>
      </c>
      <c r="C63" s="16" t="s">
        <v>84</v>
      </c>
      <c r="D63" s="16" t="s">
        <v>109</v>
      </c>
      <c r="E63" s="16" t="s">
        <v>206</v>
      </c>
      <c r="F63" s="17">
        <v>7</v>
      </c>
      <c r="G63" s="17">
        <v>7</v>
      </c>
      <c r="H63" s="17"/>
      <c r="I63" s="18"/>
      <c r="J63" s="17"/>
      <c r="K63" s="17"/>
    </row>
    <row r="64" spans="1:11" ht="15" customHeight="1" x14ac:dyDescent="0.3">
      <c r="A64" s="16" t="s">
        <v>119</v>
      </c>
      <c r="B64" s="16" t="s">
        <v>71</v>
      </c>
      <c r="C64" s="16" t="s">
        <v>84</v>
      </c>
      <c r="D64" s="16" t="s">
        <v>109</v>
      </c>
      <c r="E64" s="16" t="s">
        <v>206</v>
      </c>
      <c r="F64" s="17">
        <v>10</v>
      </c>
      <c r="G64" s="17">
        <v>67</v>
      </c>
      <c r="H64" s="17"/>
      <c r="I64" s="18"/>
      <c r="J64" s="17"/>
      <c r="K64" s="17"/>
    </row>
    <row r="65" spans="1:11" ht="15" customHeight="1" x14ac:dyDescent="0.3">
      <c r="A65" s="16" t="s">
        <v>119</v>
      </c>
      <c r="B65" s="16" t="s">
        <v>73</v>
      </c>
      <c r="C65" s="16" t="s">
        <v>89</v>
      </c>
      <c r="D65" s="16" t="s">
        <v>109</v>
      </c>
      <c r="E65" s="16" t="s">
        <v>207</v>
      </c>
      <c r="F65" s="17">
        <v>29</v>
      </c>
      <c r="G65" s="17">
        <v>29</v>
      </c>
      <c r="H65" s="17"/>
      <c r="I65" s="18"/>
      <c r="J65" s="17"/>
      <c r="K65" s="17"/>
    </row>
    <row r="66" spans="1:11" ht="15" customHeight="1" x14ac:dyDescent="0.3">
      <c r="A66" s="16" t="s">
        <v>119</v>
      </c>
      <c r="B66" s="16" t="s">
        <v>77</v>
      </c>
      <c r="C66" s="16" t="s">
        <v>97</v>
      </c>
      <c r="D66" s="16" t="s">
        <v>109</v>
      </c>
      <c r="E66" s="16" t="s">
        <v>206</v>
      </c>
      <c r="F66" s="17">
        <v>47</v>
      </c>
      <c r="G66" s="17">
        <v>47</v>
      </c>
      <c r="H66" s="17"/>
      <c r="I66" s="18"/>
      <c r="J66" s="17"/>
      <c r="K66" s="17"/>
    </row>
    <row r="67" spans="1:11" ht="15" customHeight="1" x14ac:dyDescent="0.3">
      <c r="A67" s="16" t="s">
        <v>120</v>
      </c>
      <c r="B67" s="16" t="s">
        <v>57</v>
      </c>
      <c r="C67" s="16" t="s">
        <v>84</v>
      </c>
      <c r="D67" s="16" t="s">
        <v>109</v>
      </c>
      <c r="E67" s="16" t="s">
        <v>205</v>
      </c>
      <c r="F67" s="17">
        <v>140</v>
      </c>
      <c r="G67" s="17">
        <v>140</v>
      </c>
      <c r="H67" s="17"/>
      <c r="I67" s="18"/>
      <c r="J67" s="17"/>
      <c r="K67" s="17"/>
    </row>
    <row r="68" spans="1:11" ht="15" customHeight="1" x14ac:dyDescent="0.3">
      <c r="A68" s="16" t="s">
        <v>120</v>
      </c>
      <c r="B68" s="16" t="s">
        <v>57</v>
      </c>
      <c r="C68" s="16" t="s">
        <v>86</v>
      </c>
      <c r="D68" s="16" t="s">
        <v>109</v>
      </c>
      <c r="E68" s="16" t="s">
        <v>205</v>
      </c>
      <c r="F68" s="17">
        <v>20</v>
      </c>
      <c r="G68" s="17">
        <v>20</v>
      </c>
      <c r="H68" s="17"/>
      <c r="I68" s="18"/>
      <c r="J68" s="17"/>
      <c r="K68" s="17"/>
    </row>
    <row r="69" spans="1:11" ht="15" customHeight="1" x14ac:dyDescent="0.3">
      <c r="A69" s="16" t="s">
        <v>120</v>
      </c>
      <c r="B69" s="16" t="s">
        <v>65</v>
      </c>
      <c r="C69" s="16" t="s">
        <v>86</v>
      </c>
      <c r="D69" s="16" t="s">
        <v>109</v>
      </c>
      <c r="E69" s="16" t="s">
        <v>205</v>
      </c>
      <c r="F69" s="17">
        <v>33</v>
      </c>
      <c r="G69" s="17">
        <v>33</v>
      </c>
      <c r="H69" s="17"/>
      <c r="I69" s="18"/>
      <c r="J69" s="17"/>
      <c r="K69" s="17"/>
    </row>
    <row r="70" spans="1:11" ht="15" customHeight="1" x14ac:dyDescent="0.3">
      <c r="A70" s="16" t="s">
        <v>120</v>
      </c>
      <c r="B70" s="16" t="s">
        <v>69</v>
      </c>
      <c r="C70" s="16" t="s">
        <v>84</v>
      </c>
      <c r="D70" s="16" t="s">
        <v>109</v>
      </c>
      <c r="E70" s="16" t="s">
        <v>206</v>
      </c>
      <c r="F70" s="17">
        <v>7</v>
      </c>
      <c r="G70" s="17">
        <v>7</v>
      </c>
      <c r="H70" s="17"/>
      <c r="I70" s="18"/>
      <c r="J70" s="17"/>
      <c r="K70" s="17"/>
    </row>
    <row r="71" spans="1:11" ht="15" customHeight="1" x14ac:dyDescent="0.3">
      <c r="A71" s="16" t="s">
        <v>120</v>
      </c>
      <c r="B71" s="16" t="s">
        <v>71</v>
      </c>
      <c r="C71" s="16" t="s">
        <v>84</v>
      </c>
      <c r="D71" s="16" t="s">
        <v>109</v>
      </c>
      <c r="E71" s="16" t="s">
        <v>206</v>
      </c>
      <c r="F71" s="17">
        <v>10</v>
      </c>
      <c r="G71" s="17">
        <v>67</v>
      </c>
      <c r="H71" s="17"/>
      <c r="I71" s="18"/>
      <c r="J71" s="17"/>
      <c r="K71" s="17"/>
    </row>
    <row r="72" spans="1:11" ht="15" customHeight="1" x14ac:dyDescent="0.3">
      <c r="A72" s="16" t="s">
        <v>120</v>
      </c>
      <c r="B72" s="16" t="s">
        <v>73</v>
      </c>
      <c r="C72" s="16" t="s">
        <v>89</v>
      </c>
      <c r="D72" s="16" t="s">
        <v>109</v>
      </c>
      <c r="E72" s="16" t="s">
        <v>207</v>
      </c>
      <c r="F72" s="17">
        <v>29</v>
      </c>
      <c r="G72" s="17">
        <v>29</v>
      </c>
      <c r="H72" s="17"/>
      <c r="I72" s="18"/>
      <c r="J72" s="17"/>
      <c r="K72" s="17"/>
    </row>
    <row r="73" spans="1:11" ht="15" customHeight="1" x14ac:dyDescent="0.3">
      <c r="A73" s="16" t="s">
        <v>120</v>
      </c>
      <c r="B73" s="16" t="s">
        <v>77</v>
      </c>
      <c r="C73" s="16" t="s">
        <v>97</v>
      </c>
      <c r="D73" s="16" t="s">
        <v>109</v>
      </c>
      <c r="E73" s="16" t="s">
        <v>206</v>
      </c>
      <c r="F73" s="17">
        <v>47</v>
      </c>
      <c r="G73" s="17">
        <v>47</v>
      </c>
      <c r="H73" s="17"/>
      <c r="I73" s="18"/>
      <c r="J73" s="17"/>
      <c r="K73" s="17"/>
    </row>
    <row r="74" spans="1:11" ht="15" customHeight="1" x14ac:dyDescent="0.3">
      <c r="A74" s="16" t="s">
        <v>121</v>
      </c>
      <c r="B74" s="16" t="s">
        <v>57</v>
      </c>
      <c r="C74" s="16" t="s">
        <v>84</v>
      </c>
      <c r="D74" s="16" t="s">
        <v>109</v>
      </c>
      <c r="E74" s="16" t="s">
        <v>205</v>
      </c>
      <c r="F74" s="17">
        <v>142</v>
      </c>
      <c r="G74" s="17">
        <v>160</v>
      </c>
      <c r="H74" s="17"/>
      <c r="I74" s="18"/>
      <c r="J74" s="17"/>
      <c r="K74" s="17"/>
    </row>
    <row r="75" spans="1:11" ht="15" customHeight="1" x14ac:dyDescent="0.3">
      <c r="A75" s="16" t="s">
        <v>121</v>
      </c>
      <c r="B75" s="16" t="s">
        <v>57</v>
      </c>
      <c r="C75" s="16" t="s">
        <v>86</v>
      </c>
      <c r="D75" s="16" t="s">
        <v>109</v>
      </c>
      <c r="E75" s="16" t="s">
        <v>205</v>
      </c>
      <c r="F75" s="17">
        <v>21</v>
      </c>
      <c r="G75" s="17">
        <v>21</v>
      </c>
      <c r="H75" s="17"/>
      <c r="I75" s="18"/>
      <c r="J75" s="17"/>
      <c r="K75" s="17"/>
    </row>
    <row r="76" spans="1:11" ht="15" customHeight="1" x14ac:dyDescent="0.3">
      <c r="A76" s="16" t="s">
        <v>121</v>
      </c>
      <c r="B76" s="16" t="s">
        <v>65</v>
      </c>
      <c r="C76" s="16" t="s">
        <v>86</v>
      </c>
      <c r="D76" s="16" t="s">
        <v>109</v>
      </c>
      <c r="E76" s="16" t="s">
        <v>205</v>
      </c>
      <c r="F76" s="17">
        <v>33</v>
      </c>
      <c r="G76" s="17">
        <v>33</v>
      </c>
      <c r="H76" s="17"/>
      <c r="I76" s="18"/>
      <c r="J76" s="17"/>
      <c r="K76" s="17"/>
    </row>
    <row r="77" spans="1:11" ht="15" customHeight="1" x14ac:dyDescent="0.3">
      <c r="A77" s="16" t="s">
        <v>121</v>
      </c>
      <c r="B77" s="16" t="s">
        <v>69</v>
      </c>
      <c r="C77" s="16" t="s">
        <v>84</v>
      </c>
      <c r="D77" s="16" t="s">
        <v>109</v>
      </c>
      <c r="E77" s="16" t="s">
        <v>206</v>
      </c>
      <c r="F77" s="17">
        <v>7</v>
      </c>
      <c r="G77" s="17">
        <v>7</v>
      </c>
      <c r="H77" s="17"/>
      <c r="I77" s="18"/>
      <c r="J77" s="17"/>
      <c r="K77" s="17"/>
    </row>
    <row r="78" spans="1:11" ht="15" customHeight="1" x14ac:dyDescent="0.3">
      <c r="A78" s="16" t="s">
        <v>121</v>
      </c>
      <c r="B78" s="16" t="s">
        <v>71</v>
      </c>
      <c r="C78" s="16" t="s">
        <v>84</v>
      </c>
      <c r="D78" s="16" t="s">
        <v>109</v>
      </c>
      <c r="E78" s="16" t="s">
        <v>206</v>
      </c>
      <c r="F78" s="17">
        <v>15</v>
      </c>
      <c r="G78" s="17">
        <v>67</v>
      </c>
      <c r="H78" s="17"/>
      <c r="I78" s="18"/>
      <c r="J78" s="17"/>
      <c r="K78" s="17"/>
    </row>
    <row r="79" spans="1:11" ht="15" customHeight="1" x14ac:dyDescent="0.3">
      <c r="A79" s="16" t="s">
        <v>121</v>
      </c>
      <c r="B79" s="16" t="s">
        <v>73</v>
      </c>
      <c r="C79" s="16" t="s">
        <v>89</v>
      </c>
      <c r="D79" s="16" t="s">
        <v>109</v>
      </c>
      <c r="E79" s="16" t="s">
        <v>207</v>
      </c>
      <c r="F79" s="17">
        <v>29</v>
      </c>
      <c r="G79" s="17">
        <v>29</v>
      </c>
      <c r="H79" s="17"/>
      <c r="I79" s="18"/>
      <c r="J79" s="17"/>
      <c r="K79" s="17"/>
    </row>
    <row r="80" spans="1:11" ht="15" customHeight="1" x14ac:dyDescent="0.3">
      <c r="A80" s="16" t="s">
        <v>121</v>
      </c>
      <c r="B80" s="16" t="s">
        <v>77</v>
      </c>
      <c r="C80" s="16" t="s">
        <v>97</v>
      </c>
      <c r="D80" s="16" t="s">
        <v>109</v>
      </c>
      <c r="E80" s="16" t="s">
        <v>206</v>
      </c>
      <c r="F80" s="17">
        <v>51</v>
      </c>
      <c r="G80" s="17">
        <v>51</v>
      </c>
      <c r="H80" s="17"/>
      <c r="I80" s="18"/>
      <c r="J80" s="17"/>
      <c r="K80" s="17"/>
    </row>
    <row r="81" spans="1:11" ht="15" customHeight="1" x14ac:dyDescent="0.3">
      <c r="A81" s="16" t="s">
        <v>204</v>
      </c>
      <c r="B81" s="16" t="s">
        <v>57</v>
      </c>
      <c r="C81" s="16" t="s">
        <v>84</v>
      </c>
      <c r="D81" s="16" t="s">
        <v>109</v>
      </c>
      <c r="E81" s="16" t="s">
        <v>205</v>
      </c>
      <c r="F81" s="17">
        <v>142</v>
      </c>
      <c r="G81" s="17">
        <v>160</v>
      </c>
      <c r="H81" s="17"/>
      <c r="I81" s="18"/>
      <c r="J81" s="17"/>
      <c r="K81" s="17"/>
    </row>
    <row r="82" spans="1:11" ht="15" customHeight="1" x14ac:dyDescent="0.3">
      <c r="A82" s="16" t="s">
        <v>204</v>
      </c>
      <c r="B82" s="16" t="s">
        <v>57</v>
      </c>
      <c r="C82" s="16" t="s">
        <v>86</v>
      </c>
      <c r="D82" s="16" t="s">
        <v>109</v>
      </c>
      <c r="E82" s="16" t="s">
        <v>205</v>
      </c>
      <c r="F82" s="17">
        <v>21</v>
      </c>
      <c r="G82" s="17">
        <v>21</v>
      </c>
      <c r="H82" s="17"/>
      <c r="I82" s="18"/>
      <c r="J82" s="17"/>
      <c r="K82" s="17"/>
    </row>
    <row r="83" spans="1:11" ht="15" customHeight="1" x14ac:dyDescent="0.3">
      <c r="A83" s="16" t="s">
        <v>204</v>
      </c>
      <c r="B83" s="16" t="s">
        <v>65</v>
      </c>
      <c r="C83" s="16" t="s">
        <v>86</v>
      </c>
      <c r="D83" s="16" t="s">
        <v>109</v>
      </c>
      <c r="E83" s="16" t="s">
        <v>205</v>
      </c>
      <c r="F83" s="17">
        <v>33</v>
      </c>
      <c r="G83" s="17">
        <v>33</v>
      </c>
      <c r="H83" s="17"/>
      <c r="I83" s="18"/>
      <c r="J83" s="17"/>
      <c r="K83" s="17"/>
    </row>
    <row r="84" spans="1:11" ht="15" customHeight="1" x14ac:dyDescent="0.3">
      <c r="A84" s="16" t="s">
        <v>204</v>
      </c>
      <c r="B84" s="16" t="s">
        <v>69</v>
      </c>
      <c r="C84" s="16" t="s">
        <v>84</v>
      </c>
      <c r="D84" s="16" t="s">
        <v>109</v>
      </c>
      <c r="E84" s="16" t="s">
        <v>206</v>
      </c>
      <c r="F84" s="17">
        <v>7</v>
      </c>
      <c r="G84" s="17">
        <v>7</v>
      </c>
      <c r="H84" s="17"/>
      <c r="I84" s="18"/>
      <c r="J84" s="17"/>
      <c r="K84" s="17"/>
    </row>
    <row r="85" spans="1:11" x14ac:dyDescent="0.3">
      <c r="A85" s="16" t="s">
        <v>204</v>
      </c>
      <c r="B85" s="16" t="s">
        <v>71</v>
      </c>
      <c r="C85" s="16" t="s">
        <v>84</v>
      </c>
      <c r="D85" s="16" t="s">
        <v>109</v>
      </c>
      <c r="E85" s="16" t="s">
        <v>206</v>
      </c>
      <c r="F85">
        <v>19</v>
      </c>
      <c r="G85">
        <v>67</v>
      </c>
    </row>
    <row r="86" spans="1:11" x14ac:dyDescent="0.3">
      <c r="A86" s="16" t="s">
        <v>204</v>
      </c>
      <c r="B86" s="16" t="s">
        <v>73</v>
      </c>
      <c r="C86" s="16" t="s">
        <v>89</v>
      </c>
      <c r="D86" s="16" t="s">
        <v>109</v>
      </c>
      <c r="E86" s="16" t="s">
        <v>207</v>
      </c>
      <c r="F86">
        <v>29</v>
      </c>
      <c r="G86" s="17">
        <v>29</v>
      </c>
    </row>
    <row r="87" spans="1:11" x14ac:dyDescent="0.3">
      <c r="A87" s="16" t="s">
        <v>204</v>
      </c>
      <c r="B87" s="16" t="s">
        <v>77</v>
      </c>
      <c r="C87" s="16" t="s">
        <v>97</v>
      </c>
      <c r="D87" s="16" t="s">
        <v>109</v>
      </c>
      <c r="E87" s="16" t="s">
        <v>206</v>
      </c>
      <c r="F87">
        <v>51</v>
      </c>
      <c r="G87" s="17">
        <v>51</v>
      </c>
    </row>
    <row r="88" spans="1:11" x14ac:dyDescent="0.3">
      <c r="E88" s="16"/>
    </row>
    <row r="89" spans="1:11" x14ac:dyDescent="0.3">
      <c r="E89" s="16"/>
    </row>
    <row r="90" spans="1:11" x14ac:dyDescent="0.3">
      <c r="E90" s="16"/>
    </row>
    <row r="91" spans="1:11" x14ac:dyDescent="0.3">
      <c r="E91" s="16"/>
    </row>
    <row r="92" spans="1:11" x14ac:dyDescent="0.3">
      <c r="E92" s="16"/>
    </row>
    <row r="93" spans="1:11" x14ac:dyDescent="0.3">
      <c r="E93" s="16"/>
    </row>
    <row r="94" spans="1:11" x14ac:dyDescent="0.3">
      <c r="E94" s="16"/>
    </row>
    <row r="95" spans="1:11" x14ac:dyDescent="0.3">
      <c r="E95" s="16"/>
    </row>
    <row r="96" spans="1:11" x14ac:dyDescent="0.3">
      <c r="E96" s="16"/>
    </row>
    <row r="97" spans="5:5" x14ac:dyDescent="0.3">
      <c r="E97" s="16"/>
    </row>
    <row r="98" spans="5:5" x14ac:dyDescent="0.3">
      <c r="E98" s="16"/>
    </row>
    <row r="99" spans="5:5" x14ac:dyDescent="0.3">
      <c r="E99" s="16"/>
    </row>
    <row r="100" spans="5:5" x14ac:dyDescent="0.3">
      <c r="E100" s="16"/>
    </row>
    <row r="101" spans="5:5" x14ac:dyDescent="0.3">
      <c r="E101" s="16"/>
    </row>
    <row r="102" spans="5:5" x14ac:dyDescent="0.3">
      <c r="E102" s="16"/>
    </row>
    <row r="103" spans="5:5" x14ac:dyDescent="0.3">
      <c r="E103" s="16"/>
    </row>
    <row r="104" spans="5:5" x14ac:dyDescent="0.3">
      <c r="E104" s="16"/>
    </row>
    <row r="105" spans="5:5" x14ac:dyDescent="0.3">
      <c r="E105" s="16"/>
    </row>
  </sheetData>
  <autoFilter ref="A1:K87" xr:uid="{00000000-0009-0000-0000-000003000000}"/>
  <phoneticPr fontId="9" type="noConversion"/>
  <dataValidations count="6">
    <dataValidation type="list" allowBlank="1" showErrorMessage="1" errorTitle="Valor fuera de catálogo" error="Valores permitidos: 7x7, 4x3, 14x14, Administrativo" sqref="E106:E1076" xr:uid="{00000000-0002-0000-0300-000005000000}">
      <formula1>"7x7,4x3,14x14,Administrativo"</formula1>
      <formula2>0</formula2>
    </dataValidation>
    <dataValidation type="list" allowBlank="1" showErrorMessage="1" errorTitle="Valor fuera de catálogo" error="Valores permitidos: 7x7, 4x3, 14x14, Administrativo" sqref="E97:E105" xr:uid="{55B4B90A-78D4-42AB-B4F0-A12289DA0ED0}">
      <formula1>"14x7,10x4,5x2"</formula1>
    </dataValidation>
    <dataValidation type="textLength" operator="equal" allowBlank="1" showErrorMessage="1" errorTitle="Periodo mal escrito" error="El periodo se escribe AAAA-MM, por ejemplo 2026-08." promptTitle="Periodo" prompt="AAAA-MM (ejemplo: 2026-08)" sqref="A2:A1076" xr:uid="{00000000-0002-0000-03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F2:K1076" xr:uid="{00000000-0002-0000-0300-000001000000}">
      <formula1>0</formula1>
      <formula2>0</formula2>
    </dataValidation>
    <dataValidation type="list" allowBlank="1" showErrorMessage="1" errorTitle="Valor fuera de catálogo" error="Valores permitidos: Propio, Contratista" sqref="D2:D1076" xr:uid="{00000000-0002-0000-0300-000004000000}">
      <formula1>"Propio,Contratista"</formula1>
      <formula2>0</formula2>
    </dataValidation>
    <dataValidation type="list" allowBlank="1" showErrorMessage="1" errorTitle="Valor fuera de catálogo" error="Valores permitidos: 7x7, 4x3, 14x14, Administrativo" sqref="E2:E96" xr:uid="{38066747-7959-45B2-986D-33EC9EA49DC0}">
      <formula1>"20x10,14x7,10x4,5x2"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Clave inexistente" error="Esa clave no existe en la hoja dim_unidad. Agrégala primero al catálogo." xr:uid="{00000000-0002-0000-0300-000002000000}">
          <x14:formula1>
            <xm:f>dim_unidad!$A$2:$A$5000</xm:f>
          </x14:formula1>
          <x14:formula2>
            <xm:f>0</xm:f>
          </x14:formula2>
          <xm:sqref>B2:B1076</xm:sqref>
        </x14:dataValidation>
        <x14:dataValidation type="list" allowBlank="1" showErrorMessage="1" errorTitle="Clave inexistente" error="Esa clave no existe en la hoja dim_area. Agrégala primero al catálogo." xr:uid="{00000000-0002-0000-0300-000003000000}">
          <x14:formula1>
            <xm:f>dim_area!$A$2:$A$5000</xm:f>
          </x14:formula1>
          <x14:formula2>
            <xm:f>0</xm:f>
          </x14:formula2>
          <xm:sqref>C2:C1076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7"/>
  <sheetViews>
    <sheetView zoomScaleNormal="100" workbookViewId="0">
      <pane ySplit="1" topLeftCell="A64" activePane="bottomLeft" state="frozen"/>
      <selection pane="bottomLeft" activeCell="A2" sqref="A2:C87"/>
    </sheetView>
  </sheetViews>
  <sheetFormatPr baseColWidth="10" defaultColWidth="8.6640625" defaultRowHeight="14.4" x14ac:dyDescent="0.3"/>
  <cols>
    <col min="1" max="1" width="11" customWidth="1"/>
    <col min="2" max="3" width="26" customWidth="1"/>
    <col min="4" max="8" width="13" customWidth="1"/>
    <col min="9" max="9" width="15" customWidth="1"/>
  </cols>
  <sheetData>
    <row r="1" spans="1:9" ht="30" customHeight="1" x14ac:dyDescent="0.3">
      <c r="A1" s="15" t="s">
        <v>100</v>
      </c>
      <c r="B1" s="15" t="s">
        <v>51</v>
      </c>
      <c r="C1" s="15" t="s">
        <v>80</v>
      </c>
      <c r="D1" s="15" t="s">
        <v>122</v>
      </c>
      <c r="E1" s="15" t="s">
        <v>123</v>
      </c>
      <c r="F1" s="15" t="s">
        <v>124</v>
      </c>
      <c r="G1" s="15" t="s">
        <v>125</v>
      </c>
      <c r="H1" s="15" t="s">
        <v>126</v>
      </c>
      <c r="I1" s="15" t="s">
        <v>127</v>
      </c>
    </row>
    <row r="2" spans="1:9" ht="15" customHeight="1" x14ac:dyDescent="0.3">
      <c r="A2" s="16" t="s">
        <v>110</v>
      </c>
      <c r="B2" s="16" t="s">
        <v>57</v>
      </c>
      <c r="C2" s="16" t="s">
        <v>84</v>
      </c>
      <c r="D2" s="17">
        <v>3</v>
      </c>
      <c r="E2" s="17">
        <v>2</v>
      </c>
      <c r="F2" s="17">
        <v>2</v>
      </c>
      <c r="G2" s="17">
        <v>0</v>
      </c>
      <c r="H2" s="17">
        <v>6</v>
      </c>
      <c r="I2" s="18">
        <v>33.700000000000003</v>
      </c>
    </row>
    <row r="3" spans="1:9" ht="15" customHeight="1" x14ac:dyDescent="0.3">
      <c r="A3" s="16" t="s">
        <v>110</v>
      </c>
      <c r="B3" s="16" t="s">
        <v>57</v>
      </c>
      <c r="C3" s="16" t="s">
        <v>86</v>
      </c>
      <c r="D3" s="17">
        <v>1</v>
      </c>
      <c r="E3" s="17">
        <v>0</v>
      </c>
      <c r="F3" s="17">
        <v>1</v>
      </c>
      <c r="G3" s="17">
        <v>0</v>
      </c>
      <c r="H3" s="17">
        <v>3</v>
      </c>
      <c r="I3" s="18">
        <v>29.8</v>
      </c>
    </row>
    <row r="4" spans="1:9" ht="15" customHeight="1" x14ac:dyDescent="0.3">
      <c r="A4" s="16" t="s">
        <v>110</v>
      </c>
      <c r="B4" s="16" t="s">
        <v>65</v>
      </c>
      <c r="C4" s="16" t="s">
        <v>86</v>
      </c>
      <c r="D4" s="17">
        <v>4</v>
      </c>
      <c r="E4" s="17">
        <v>2</v>
      </c>
      <c r="F4" s="17">
        <v>1</v>
      </c>
      <c r="G4" s="17">
        <v>0</v>
      </c>
      <c r="H4" s="17">
        <v>10</v>
      </c>
      <c r="I4" s="18">
        <v>32.799999999999997</v>
      </c>
    </row>
    <row r="5" spans="1:9" ht="15" customHeight="1" x14ac:dyDescent="0.3">
      <c r="A5" s="16" t="s">
        <v>110</v>
      </c>
      <c r="B5" s="16" t="s">
        <v>69</v>
      </c>
      <c r="C5" s="16" t="s">
        <v>84</v>
      </c>
      <c r="D5" s="17">
        <v>0</v>
      </c>
      <c r="E5" s="17">
        <v>0</v>
      </c>
      <c r="F5" s="17">
        <v>0</v>
      </c>
      <c r="G5" s="17">
        <v>0</v>
      </c>
      <c r="H5" s="17">
        <v>1</v>
      </c>
      <c r="I5" s="18">
        <v>22.1</v>
      </c>
    </row>
    <row r="6" spans="1:9" ht="15" customHeight="1" x14ac:dyDescent="0.3">
      <c r="A6" s="16" t="s">
        <v>110</v>
      </c>
      <c r="B6" s="16" t="s">
        <v>73</v>
      </c>
      <c r="C6" s="16" t="s">
        <v>89</v>
      </c>
      <c r="D6" s="17">
        <v>1</v>
      </c>
      <c r="E6" s="17">
        <v>0</v>
      </c>
      <c r="F6" s="17">
        <v>1</v>
      </c>
      <c r="G6" s="17">
        <v>0</v>
      </c>
      <c r="H6" s="17">
        <v>3</v>
      </c>
      <c r="I6" s="18">
        <v>21</v>
      </c>
    </row>
    <row r="7" spans="1:9" ht="15" customHeight="1" x14ac:dyDescent="0.3">
      <c r="A7" s="16" t="s">
        <v>110</v>
      </c>
      <c r="B7" s="16" t="s">
        <v>77</v>
      </c>
      <c r="C7" s="16" t="s">
        <v>97</v>
      </c>
      <c r="D7" s="17">
        <v>4</v>
      </c>
      <c r="E7" s="17">
        <v>3</v>
      </c>
      <c r="F7" s="17">
        <v>3</v>
      </c>
      <c r="G7" s="17">
        <v>0</v>
      </c>
      <c r="H7" s="17">
        <v>16</v>
      </c>
      <c r="I7" s="18">
        <v>30.8</v>
      </c>
    </row>
    <row r="8" spans="1:9" ht="15" customHeight="1" x14ac:dyDescent="0.3">
      <c r="A8" s="16" t="s">
        <v>111</v>
      </c>
      <c r="B8" s="16" t="s">
        <v>57</v>
      </c>
      <c r="C8" s="16" t="s">
        <v>84</v>
      </c>
      <c r="D8" s="17">
        <v>2</v>
      </c>
      <c r="E8" s="17">
        <v>1</v>
      </c>
      <c r="F8" s="17">
        <v>1</v>
      </c>
      <c r="G8" s="17">
        <v>0</v>
      </c>
      <c r="H8" s="17">
        <v>9</v>
      </c>
      <c r="I8" s="18">
        <v>34.299999999999997</v>
      </c>
    </row>
    <row r="9" spans="1:9" ht="15" customHeight="1" x14ac:dyDescent="0.3">
      <c r="A9" s="16" t="s">
        <v>111</v>
      </c>
      <c r="B9" s="16" t="s">
        <v>57</v>
      </c>
      <c r="C9" s="16" t="s">
        <v>86</v>
      </c>
      <c r="D9" s="17">
        <v>0</v>
      </c>
      <c r="E9" s="17">
        <v>0</v>
      </c>
      <c r="F9" s="17">
        <v>0</v>
      </c>
      <c r="G9" s="17">
        <v>0</v>
      </c>
      <c r="H9" s="17">
        <v>1</v>
      </c>
      <c r="I9" s="18">
        <v>24.2</v>
      </c>
    </row>
    <row r="10" spans="1:9" ht="15" customHeight="1" x14ac:dyDescent="0.3">
      <c r="A10" s="16" t="s">
        <v>111</v>
      </c>
      <c r="B10" s="16" t="s">
        <v>65</v>
      </c>
      <c r="C10" s="16" t="s">
        <v>86</v>
      </c>
      <c r="D10" s="17">
        <v>1</v>
      </c>
      <c r="E10" s="17">
        <v>0</v>
      </c>
      <c r="F10" s="17">
        <v>1</v>
      </c>
      <c r="G10" s="17">
        <v>0</v>
      </c>
      <c r="H10" s="17">
        <v>2</v>
      </c>
      <c r="I10" s="18">
        <v>24.3</v>
      </c>
    </row>
    <row r="11" spans="1:9" ht="15" customHeight="1" x14ac:dyDescent="0.3">
      <c r="A11" s="16" t="s">
        <v>111</v>
      </c>
      <c r="B11" s="16" t="s">
        <v>69</v>
      </c>
      <c r="C11" s="16" t="s">
        <v>84</v>
      </c>
      <c r="D11" s="17">
        <v>7</v>
      </c>
      <c r="E11" s="17">
        <v>4</v>
      </c>
      <c r="F11" s="17">
        <v>2</v>
      </c>
      <c r="G11" s="17">
        <v>1</v>
      </c>
      <c r="H11" s="17">
        <v>15</v>
      </c>
      <c r="I11" s="18">
        <v>29.2</v>
      </c>
    </row>
    <row r="12" spans="1:9" ht="15" customHeight="1" x14ac:dyDescent="0.3">
      <c r="A12" s="16" t="s">
        <v>111</v>
      </c>
      <c r="B12" s="16" t="s">
        <v>73</v>
      </c>
      <c r="C12" s="16" t="s">
        <v>89</v>
      </c>
      <c r="D12" s="17">
        <v>2</v>
      </c>
      <c r="E12" s="17">
        <v>1</v>
      </c>
      <c r="F12" s="17">
        <v>1</v>
      </c>
      <c r="G12" s="17">
        <v>0</v>
      </c>
      <c r="H12" s="17">
        <v>7</v>
      </c>
      <c r="I12" s="18">
        <v>29.6</v>
      </c>
    </row>
    <row r="13" spans="1:9" ht="15" customHeight="1" x14ac:dyDescent="0.3">
      <c r="A13" s="16" t="s">
        <v>111</v>
      </c>
      <c r="B13" s="16" t="s">
        <v>77</v>
      </c>
      <c r="C13" s="16" t="s">
        <v>97</v>
      </c>
      <c r="D13" s="17">
        <v>0</v>
      </c>
      <c r="E13" s="17">
        <v>0</v>
      </c>
      <c r="F13" s="17">
        <v>0</v>
      </c>
      <c r="G13" s="17">
        <v>0</v>
      </c>
      <c r="H13" s="17">
        <v>1</v>
      </c>
      <c r="I13" s="18">
        <v>24.9</v>
      </c>
    </row>
    <row r="14" spans="1:9" ht="15" customHeight="1" x14ac:dyDescent="0.3">
      <c r="A14" s="16" t="s">
        <v>112</v>
      </c>
      <c r="B14" s="16" t="s">
        <v>57</v>
      </c>
      <c r="C14" s="16" t="s">
        <v>84</v>
      </c>
      <c r="D14" s="17">
        <v>1</v>
      </c>
      <c r="E14" s="17">
        <v>0</v>
      </c>
      <c r="F14" s="17">
        <v>1</v>
      </c>
      <c r="G14" s="17">
        <v>0</v>
      </c>
      <c r="H14" s="17">
        <v>3</v>
      </c>
      <c r="I14" s="18">
        <v>21.4</v>
      </c>
    </row>
    <row r="15" spans="1:9" ht="15" customHeight="1" x14ac:dyDescent="0.3">
      <c r="A15" s="16" t="s">
        <v>112</v>
      </c>
      <c r="B15" s="16" t="s">
        <v>57</v>
      </c>
      <c r="C15" s="16" t="s">
        <v>86</v>
      </c>
      <c r="D15" s="17">
        <v>2</v>
      </c>
      <c r="E15" s="17">
        <v>1</v>
      </c>
      <c r="F15" s="17">
        <v>1</v>
      </c>
      <c r="G15" s="17">
        <v>0</v>
      </c>
      <c r="H15" s="17">
        <v>11</v>
      </c>
      <c r="I15" s="18">
        <v>35</v>
      </c>
    </row>
    <row r="16" spans="1:9" ht="15" customHeight="1" x14ac:dyDescent="0.3">
      <c r="A16" s="16" t="s">
        <v>112</v>
      </c>
      <c r="B16" s="16" t="s">
        <v>65</v>
      </c>
      <c r="C16" s="16" t="s">
        <v>86</v>
      </c>
      <c r="D16" s="17">
        <v>1</v>
      </c>
      <c r="E16" s="17">
        <v>0</v>
      </c>
      <c r="F16" s="17">
        <v>1</v>
      </c>
      <c r="G16" s="17">
        <v>0</v>
      </c>
      <c r="H16" s="17">
        <v>3</v>
      </c>
      <c r="I16" s="18">
        <v>30.6</v>
      </c>
    </row>
    <row r="17" spans="1:9" ht="15" customHeight="1" x14ac:dyDescent="0.3">
      <c r="A17" s="16" t="s">
        <v>112</v>
      </c>
      <c r="B17" s="16" t="s">
        <v>69</v>
      </c>
      <c r="C17" s="16" t="s">
        <v>84</v>
      </c>
      <c r="D17" s="17">
        <v>1</v>
      </c>
      <c r="E17" s="17">
        <v>0</v>
      </c>
      <c r="F17" s="17">
        <v>1</v>
      </c>
      <c r="G17" s="17">
        <v>0</v>
      </c>
      <c r="H17" s="17">
        <v>3</v>
      </c>
      <c r="I17" s="18">
        <v>33.5</v>
      </c>
    </row>
    <row r="18" spans="1:9" ht="15" customHeight="1" x14ac:dyDescent="0.3">
      <c r="A18" s="16" t="s">
        <v>112</v>
      </c>
      <c r="B18" s="16" t="s">
        <v>73</v>
      </c>
      <c r="C18" s="16" t="s">
        <v>89</v>
      </c>
      <c r="D18" s="17">
        <v>0</v>
      </c>
      <c r="E18" s="17">
        <v>0</v>
      </c>
      <c r="F18" s="17">
        <v>0</v>
      </c>
      <c r="G18" s="17">
        <v>0</v>
      </c>
      <c r="H18" s="17">
        <v>1</v>
      </c>
      <c r="I18" s="18">
        <v>21.1</v>
      </c>
    </row>
    <row r="19" spans="1:9" ht="15" customHeight="1" x14ac:dyDescent="0.3">
      <c r="A19" s="16" t="s">
        <v>112</v>
      </c>
      <c r="B19" s="16" t="s">
        <v>77</v>
      </c>
      <c r="C19" s="16" t="s">
        <v>97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8">
        <v>21.3</v>
      </c>
    </row>
    <row r="20" spans="1:9" ht="15" customHeight="1" x14ac:dyDescent="0.3">
      <c r="A20" s="16" t="s">
        <v>113</v>
      </c>
      <c r="B20" s="16" t="s">
        <v>57</v>
      </c>
      <c r="C20" s="16" t="s">
        <v>84</v>
      </c>
      <c r="D20" s="17">
        <v>2</v>
      </c>
      <c r="E20" s="17">
        <v>1</v>
      </c>
      <c r="F20" s="17">
        <v>1</v>
      </c>
      <c r="G20" s="17">
        <v>0</v>
      </c>
      <c r="H20" s="17">
        <v>4</v>
      </c>
      <c r="I20" s="18">
        <v>29.1</v>
      </c>
    </row>
    <row r="21" spans="1:9" ht="15" customHeight="1" x14ac:dyDescent="0.3">
      <c r="A21" s="16" t="s">
        <v>113</v>
      </c>
      <c r="B21" s="16" t="s">
        <v>57</v>
      </c>
      <c r="C21" s="16" t="s">
        <v>86</v>
      </c>
      <c r="D21" s="17">
        <v>1</v>
      </c>
      <c r="E21" s="17">
        <v>0</v>
      </c>
      <c r="F21" s="17">
        <v>1</v>
      </c>
      <c r="G21" s="17">
        <v>0</v>
      </c>
      <c r="H21" s="17">
        <v>2</v>
      </c>
      <c r="I21" s="18">
        <v>32.6</v>
      </c>
    </row>
    <row r="22" spans="1:9" ht="15" customHeight="1" x14ac:dyDescent="0.3">
      <c r="A22" s="16" t="s">
        <v>113</v>
      </c>
      <c r="B22" s="16" t="s">
        <v>65</v>
      </c>
      <c r="C22" s="16" t="s">
        <v>86</v>
      </c>
      <c r="D22" s="17">
        <v>1</v>
      </c>
      <c r="E22" s="17">
        <v>0</v>
      </c>
      <c r="F22" s="17">
        <v>1</v>
      </c>
      <c r="G22" s="17">
        <v>0</v>
      </c>
      <c r="H22" s="17">
        <v>5</v>
      </c>
      <c r="I22" s="18">
        <v>29.5</v>
      </c>
    </row>
    <row r="23" spans="1:9" ht="15" customHeight="1" x14ac:dyDescent="0.3">
      <c r="A23" s="16" t="s">
        <v>113</v>
      </c>
      <c r="B23" s="16" t="s">
        <v>69</v>
      </c>
      <c r="C23" s="16" t="s">
        <v>84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8">
        <v>23.7</v>
      </c>
    </row>
    <row r="24" spans="1:9" ht="15" customHeight="1" x14ac:dyDescent="0.3">
      <c r="A24" s="16" t="s">
        <v>113</v>
      </c>
      <c r="B24" s="16" t="s">
        <v>73</v>
      </c>
      <c r="C24" s="16" t="s">
        <v>89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8">
        <v>25.2</v>
      </c>
    </row>
    <row r="25" spans="1:9" ht="15" customHeight="1" x14ac:dyDescent="0.3">
      <c r="A25" s="16" t="s">
        <v>113</v>
      </c>
      <c r="B25" s="16" t="s">
        <v>77</v>
      </c>
      <c r="C25" s="16" t="s">
        <v>97</v>
      </c>
      <c r="D25" s="17">
        <v>2</v>
      </c>
      <c r="E25" s="17">
        <v>1</v>
      </c>
      <c r="F25" s="17">
        <v>1</v>
      </c>
      <c r="G25" s="17">
        <v>0</v>
      </c>
      <c r="H25" s="17">
        <v>9</v>
      </c>
      <c r="I25" s="18">
        <v>29.9</v>
      </c>
    </row>
    <row r="26" spans="1:9" ht="15" customHeight="1" x14ac:dyDescent="0.3">
      <c r="A26" s="16" t="s">
        <v>114</v>
      </c>
      <c r="B26" s="16" t="s">
        <v>57</v>
      </c>
      <c r="C26" s="16" t="s">
        <v>84</v>
      </c>
      <c r="D26" s="17">
        <v>1</v>
      </c>
      <c r="E26" s="17">
        <v>0</v>
      </c>
      <c r="F26" s="17">
        <v>1</v>
      </c>
      <c r="G26" s="17">
        <v>0</v>
      </c>
      <c r="H26" s="17">
        <v>2</v>
      </c>
      <c r="I26" s="18">
        <v>29.2</v>
      </c>
    </row>
    <row r="27" spans="1:9" ht="15" customHeight="1" x14ac:dyDescent="0.3">
      <c r="A27" s="16" t="s">
        <v>114</v>
      </c>
      <c r="B27" s="16" t="s">
        <v>57</v>
      </c>
      <c r="C27" s="16" t="s">
        <v>86</v>
      </c>
      <c r="D27" s="17">
        <v>1</v>
      </c>
      <c r="E27" s="17">
        <v>0</v>
      </c>
      <c r="F27" s="17">
        <v>1</v>
      </c>
      <c r="G27" s="17">
        <v>0</v>
      </c>
      <c r="H27" s="17">
        <v>9</v>
      </c>
      <c r="I27" s="18">
        <v>35.799999999999997</v>
      </c>
    </row>
    <row r="28" spans="1:9" ht="15" customHeight="1" x14ac:dyDescent="0.3">
      <c r="A28" s="16" t="s">
        <v>114</v>
      </c>
      <c r="B28" s="16" t="s">
        <v>65</v>
      </c>
      <c r="C28" s="16" t="s">
        <v>86</v>
      </c>
      <c r="D28" s="17">
        <v>0</v>
      </c>
      <c r="E28" s="17">
        <v>0</v>
      </c>
      <c r="F28" s="17">
        <v>0</v>
      </c>
      <c r="G28" s="17">
        <v>0</v>
      </c>
      <c r="H28" s="17">
        <v>0</v>
      </c>
      <c r="I28" s="18">
        <v>25.1</v>
      </c>
    </row>
    <row r="29" spans="1:9" ht="15" customHeight="1" x14ac:dyDescent="0.3">
      <c r="A29" s="16" t="s">
        <v>114</v>
      </c>
      <c r="B29" s="16" t="s">
        <v>69</v>
      </c>
      <c r="C29" s="16" t="s">
        <v>84</v>
      </c>
      <c r="D29" s="17">
        <v>0</v>
      </c>
      <c r="E29" s="17">
        <v>0</v>
      </c>
      <c r="F29" s="17">
        <v>0</v>
      </c>
      <c r="G29" s="17">
        <v>0</v>
      </c>
      <c r="H29" s="17">
        <v>1</v>
      </c>
      <c r="I29" s="18">
        <v>21.5</v>
      </c>
    </row>
    <row r="30" spans="1:9" ht="15" customHeight="1" x14ac:dyDescent="0.3">
      <c r="A30" s="16" t="s">
        <v>114</v>
      </c>
      <c r="B30" s="16" t="s">
        <v>73</v>
      </c>
      <c r="C30" s="16" t="s">
        <v>89</v>
      </c>
      <c r="D30" s="17">
        <v>1</v>
      </c>
      <c r="E30" s="17">
        <v>0</v>
      </c>
      <c r="F30" s="17">
        <v>1</v>
      </c>
      <c r="G30" s="17">
        <v>0</v>
      </c>
      <c r="H30" s="17">
        <v>4</v>
      </c>
      <c r="I30" s="18">
        <v>28.2</v>
      </c>
    </row>
    <row r="31" spans="1:9" ht="15" customHeight="1" x14ac:dyDescent="0.3">
      <c r="A31" s="16" t="s">
        <v>114</v>
      </c>
      <c r="B31" s="16" t="s">
        <v>77</v>
      </c>
      <c r="C31" s="16" t="s">
        <v>97</v>
      </c>
      <c r="D31" s="17">
        <v>2</v>
      </c>
      <c r="E31" s="17">
        <v>1</v>
      </c>
      <c r="F31" s="17">
        <v>1</v>
      </c>
      <c r="G31" s="17">
        <v>0</v>
      </c>
      <c r="H31" s="17">
        <v>8</v>
      </c>
      <c r="I31" s="18">
        <v>34.799999999999997</v>
      </c>
    </row>
    <row r="32" spans="1:9" ht="15" customHeight="1" x14ac:dyDescent="0.3">
      <c r="A32" s="16" t="s">
        <v>115</v>
      </c>
      <c r="B32" s="16" t="s">
        <v>57</v>
      </c>
      <c r="C32" s="16" t="s">
        <v>84</v>
      </c>
      <c r="D32" s="17">
        <v>0</v>
      </c>
      <c r="E32" s="17">
        <v>0</v>
      </c>
      <c r="F32" s="17">
        <v>0</v>
      </c>
      <c r="G32" s="17">
        <v>0</v>
      </c>
      <c r="H32" s="17">
        <v>0</v>
      </c>
      <c r="I32" s="18">
        <v>22.9</v>
      </c>
    </row>
    <row r="33" spans="1:9" ht="15" customHeight="1" x14ac:dyDescent="0.3">
      <c r="A33" s="16" t="s">
        <v>115</v>
      </c>
      <c r="B33" s="16" t="s">
        <v>57</v>
      </c>
      <c r="C33" s="16" t="s">
        <v>86</v>
      </c>
      <c r="D33" s="17">
        <v>0</v>
      </c>
      <c r="E33" s="17">
        <v>0</v>
      </c>
      <c r="F33" s="17">
        <v>0</v>
      </c>
      <c r="G33" s="17">
        <v>0</v>
      </c>
      <c r="H33" s="17">
        <v>2</v>
      </c>
      <c r="I33" s="18">
        <v>24.9</v>
      </c>
    </row>
    <row r="34" spans="1:9" ht="15" customHeight="1" x14ac:dyDescent="0.3">
      <c r="A34" s="16" t="s">
        <v>115</v>
      </c>
      <c r="B34" s="16" t="s">
        <v>65</v>
      </c>
      <c r="C34" s="16" t="s">
        <v>86</v>
      </c>
      <c r="D34" s="17">
        <v>0</v>
      </c>
      <c r="E34" s="17">
        <v>0</v>
      </c>
      <c r="F34" s="17">
        <v>0</v>
      </c>
      <c r="G34" s="17">
        <v>0</v>
      </c>
      <c r="H34" s="17">
        <v>0</v>
      </c>
      <c r="I34" s="18">
        <v>23.3</v>
      </c>
    </row>
    <row r="35" spans="1:9" ht="15" customHeight="1" x14ac:dyDescent="0.3">
      <c r="A35" s="16" t="s">
        <v>115</v>
      </c>
      <c r="B35" s="16" t="s">
        <v>69</v>
      </c>
      <c r="C35" s="16" t="s">
        <v>84</v>
      </c>
      <c r="D35" s="17">
        <v>1</v>
      </c>
      <c r="E35" s="17">
        <v>0</v>
      </c>
      <c r="F35" s="17">
        <v>1</v>
      </c>
      <c r="G35" s="17">
        <v>0</v>
      </c>
      <c r="H35" s="17">
        <v>4</v>
      </c>
      <c r="I35" s="18">
        <v>21.7</v>
      </c>
    </row>
    <row r="36" spans="1:9" ht="15" customHeight="1" x14ac:dyDescent="0.3">
      <c r="A36" s="16" t="s">
        <v>115</v>
      </c>
      <c r="B36" s="16" t="s">
        <v>71</v>
      </c>
      <c r="C36" s="16" t="s">
        <v>84</v>
      </c>
      <c r="D36" s="17">
        <v>4</v>
      </c>
      <c r="E36" s="17">
        <v>2</v>
      </c>
      <c r="F36" s="17">
        <v>2</v>
      </c>
      <c r="G36" s="17">
        <v>0</v>
      </c>
      <c r="H36" s="17">
        <v>13</v>
      </c>
      <c r="I36" s="18">
        <v>33.200000000000003</v>
      </c>
    </row>
    <row r="37" spans="1:9" ht="15" customHeight="1" x14ac:dyDescent="0.3">
      <c r="A37" s="16" t="s">
        <v>115</v>
      </c>
      <c r="B37" s="16" t="s">
        <v>73</v>
      </c>
      <c r="C37" s="16" t="s">
        <v>89</v>
      </c>
      <c r="D37" s="17">
        <v>1</v>
      </c>
      <c r="E37" s="17">
        <v>0</v>
      </c>
      <c r="F37" s="17">
        <v>1</v>
      </c>
      <c r="G37" s="17">
        <v>0</v>
      </c>
      <c r="H37" s="17">
        <v>3</v>
      </c>
      <c r="I37" s="18">
        <v>32.5</v>
      </c>
    </row>
    <row r="38" spans="1:9" ht="15" customHeight="1" x14ac:dyDescent="0.3">
      <c r="A38" s="16" t="s">
        <v>115</v>
      </c>
      <c r="B38" s="16" t="s">
        <v>77</v>
      </c>
      <c r="C38" s="16" t="s">
        <v>97</v>
      </c>
      <c r="D38" s="17">
        <v>3</v>
      </c>
      <c r="E38" s="17">
        <v>2</v>
      </c>
      <c r="F38" s="17">
        <v>1</v>
      </c>
      <c r="G38" s="17">
        <v>0</v>
      </c>
      <c r="H38" s="17">
        <v>6</v>
      </c>
      <c r="I38" s="18">
        <v>30.5</v>
      </c>
    </row>
    <row r="39" spans="1:9" ht="15" customHeight="1" x14ac:dyDescent="0.3">
      <c r="A39" s="16" t="s">
        <v>116</v>
      </c>
      <c r="B39" s="16" t="s">
        <v>57</v>
      </c>
      <c r="C39" s="16" t="s">
        <v>84</v>
      </c>
      <c r="D39" s="17">
        <v>0</v>
      </c>
      <c r="E39" s="17">
        <v>0</v>
      </c>
      <c r="F39" s="17">
        <v>0</v>
      </c>
      <c r="G39" s="17">
        <v>0</v>
      </c>
      <c r="H39" s="17">
        <v>0</v>
      </c>
      <c r="I39" s="18">
        <v>23</v>
      </c>
    </row>
    <row r="40" spans="1:9" ht="15" customHeight="1" x14ac:dyDescent="0.3">
      <c r="A40" s="16" t="s">
        <v>116</v>
      </c>
      <c r="B40" s="16" t="s">
        <v>57</v>
      </c>
      <c r="C40" s="16" t="s">
        <v>86</v>
      </c>
      <c r="D40" s="17">
        <v>1</v>
      </c>
      <c r="E40" s="17">
        <v>0</v>
      </c>
      <c r="F40" s="17">
        <v>1</v>
      </c>
      <c r="G40" s="17">
        <v>0</v>
      </c>
      <c r="H40" s="17">
        <v>1</v>
      </c>
      <c r="I40" s="18">
        <v>22.9</v>
      </c>
    </row>
    <row r="41" spans="1:9" ht="15" customHeight="1" x14ac:dyDescent="0.3">
      <c r="A41" s="16" t="s">
        <v>116</v>
      </c>
      <c r="B41" s="16" t="s">
        <v>65</v>
      </c>
      <c r="C41" s="16" t="s">
        <v>86</v>
      </c>
      <c r="D41" s="17">
        <v>9</v>
      </c>
      <c r="E41" s="17">
        <v>3</v>
      </c>
      <c r="F41" s="17">
        <v>3</v>
      </c>
      <c r="G41" s="17">
        <v>1</v>
      </c>
      <c r="H41" s="17">
        <v>13</v>
      </c>
      <c r="I41" s="18">
        <v>29.4</v>
      </c>
    </row>
    <row r="42" spans="1:9" ht="15" customHeight="1" x14ac:dyDescent="0.3">
      <c r="A42" s="16" t="s">
        <v>116</v>
      </c>
      <c r="B42" s="16" t="s">
        <v>69</v>
      </c>
      <c r="C42" s="16" t="s">
        <v>84</v>
      </c>
      <c r="D42" s="17">
        <v>3</v>
      </c>
      <c r="E42" s="17">
        <v>1</v>
      </c>
      <c r="F42" s="17">
        <v>1</v>
      </c>
      <c r="G42" s="17">
        <v>0</v>
      </c>
      <c r="H42" s="17">
        <v>11</v>
      </c>
      <c r="I42" s="18">
        <v>31.7</v>
      </c>
    </row>
    <row r="43" spans="1:9" ht="15" customHeight="1" x14ac:dyDescent="0.3">
      <c r="A43" s="16" t="s">
        <v>116</v>
      </c>
      <c r="B43" s="16" t="s">
        <v>71</v>
      </c>
      <c r="C43" s="16" t="s">
        <v>84</v>
      </c>
      <c r="D43" s="17">
        <v>0</v>
      </c>
      <c r="E43" s="17">
        <v>0</v>
      </c>
      <c r="F43" s="17">
        <v>0</v>
      </c>
      <c r="G43" s="17">
        <v>0</v>
      </c>
      <c r="H43" s="17">
        <v>1</v>
      </c>
      <c r="I43" s="18">
        <v>20.8</v>
      </c>
    </row>
    <row r="44" spans="1:9" ht="15" customHeight="1" x14ac:dyDescent="0.3">
      <c r="A44" s="16" t="s">
        <v>116</v>
      </c>
      <c r="B44" s="16" t="s">
        <v>73</v>
      </c>
      <c r="C44" s="16" t="s">
        <v>89</v>
      </c>
      <c r="D44" s="17">
        <v>1</v>
      </c>
      <c r="E44" s="17">
        <v>0</v>
      </c>
      <c r="F44" s="17">
        <v>1</v>
      </c>
      <c r="G44" s="17">
        <v>0</v>
      </c>
      <c r="H44" s="17">
        <v>2</v>
      </c>
      <c r="I44" s="18">
        <v>20.7</v>
      </c>
    </row>
    <row r="45" spans="1:9" ht="15" customHeight="1" x14ac:dyDescent="0.3">
      <c r="A45" s="16" t="s">
        <v>116</v>
      </c>
      <c r="B45" s="16" t="s">
        <v>77</v>
      </c>
      <c r="C45" s="16" t="s">
        <v>97</v>
      </c>
      <c r="D45" s="17">
        <v>9</v>
      </c>
      <c r="E45" s="17">
        <v>5</v>
      </c>
      <c r="F45" s="17">
        <v>2</v>
      </c>
      <c r="G45" s="17">
        <v>1</v>
      </c>
      <c r="H45" s="17">
        <v>16</v>
      </c>
      <c r="I45" s="18">
        <v>32.5</v>
      </c>
    </row>
    <row r="46" spans="1:9" ht="15" customHeight="1" x14ac:dyDescent="0.3">
      <c r="A46" s="16" t="s">
        <v>117</v>
      </c>
      <c r="B46" s="16" t="s">
        <v>57</v>
      </c>
      <c r="C46" s="16" t="s">
        <v>84</v>
      </c>
      <c r="D46" s="17">
        <v>3</v>
      </c>
      <c r="E46" s="17">
        <v>2</v>
      </c>
      <c r="F46" s="17">
        <v>1</v>
      </c>
      <c r="G46" s="17">
        <v>0</v>
      </c>
      <c r="H46" s="17">
        <v>5</v>
      </c>
      <c r="I46" s="18">
        <v>35</v>
      </c>
    </row>
    <row r="47" spans="1:9" ht="15" customHeight="1" x14ac:dyDescent="0.3">
      <c r="A47" s="16" t="s">
        <v>117</v>
      </c>
      <c r="B47" s="16" t="s">
        <v>57</v>
      </c>
      <c r="C47" s="16" t="s">
        <v>86</v>
      </c>
      <c r="D47" s="17">
        <v>0</v>
      </c>
      <c r="E47" s="17">
        <v>0</v>
      </c>
      <c r="F47" s="17">
        <v>0</v>
      </c>
      <c r="G47" s="17">
        <v>0</v>
      </c>
      <c r="H47" s="17">
        <v>1</v>
      </c>
      <c r="I47" s="18">
        <v>20.6</v>
      </c>
    </row>
    <row r="48" spans="1:9" ht="15" customHeight="1" x14ac:dyDescent="0.3">
      <c r="A48" s="16" t="s">
        <v>117</v>
      </c>
      <c r="B48" s="16" t="s">
        <v>65</v>
      </c>
      <c r="C48" s="16" t="s">
        <v>86</v>
      </c>
      <c r="D48" s="17">
        <v>1</v>
      </c>
      <c r="E48" s="17">
        <v>0</v>
      </c>
      <c r="F48" s="17">
        <v>1</v>
      </c>
      <c r="G48" s="17">
        <v>0</v>
      </c>
      <c r="H48" s="17">
        <v>1</v>
      </c>
      <c r="I48" s="18">
        <v>23.1</v>
      </c>
    </row>
    <row r="49" spans="1:9" ht="15" customHeight="1" x14ac:dyDescent="0.3">
      <c r="A49" s="16" t="s">
        <v>117</v>
      </c>
      <c r="B49" s="16" t="s">
        <v>69</v>
      </c>
      <c r="C49" s="16" t="s">
        <v>84</v>
      </c>
      <c r="D49" s="17">
        <v>2</v>
      </c>
      <c r="E49" s="17">
        <v>1</v>
      </c>
      <c r="F49" s="17">
        <v>1</v>
      </c>
      <c r="G49" s="17">
        <v>0</v>
      </c>
      <c r="H49" s="17">
        <v>4</v>
      </c>
      <c r="I49" s="18">
        <v>32.200000000000003</v>
      </c>
    </row>
    <row r="50" spans="1:9" ht="15" customHeight="1" x14ac:dyDescent="0.3">
      <c r="A50" s="16" t="s">
        <v>117</v>
      </c>
      <c r="B50" s="16" t="s">
        <v>71</v>
      </c>
      <c r="C50" s="16" t="s">
        <v>84</v>
      </c>
      <c r="D50" s="17">
        <v>1</v>
      </c>
      <c r="E50" s="17">
        <v>0</v>
      </c>
      <c r="F50" s="17">
        <v>1</v>
      </c>
      <c r="G50" s="17">
        <v>0</v>
      </c>
      <c r="H50" s="17">
        <v>3</v>
      </c>
      <c r="I50" s="18">
        <v>33.200000000000003</v>
      </c>
    </row>
    <row r="51" spans="1:9" ht="15" customHeight="1" x14ac:dyDescent="0.3">
      <c r="A51" s="16" t="s">
        <v>117</v>
      </c>
      <c r="B51" s="16" t="s">
        <v>73</v>
      </c>
      <c r="C51" s="16" t="s">
        <v>89</v>
      </c>
      <c r="D51" s="17">
        <v>1</v>
      </c>
      <c r="E51" s="17">
        <v>0</v>
      </c>
      <c r="F51" s="17">
        <v>1</v>
      </c>
      <c r="G51" s="17">
        <v>0</v>
      </c>
      <c r="H51" s="17">
        <v>6</v>
      </c>
      <c r="I51" s="18">
        <v>35.5</v>
      </c>
    </row>
    <row r="52" spans="1:9" ht="15" customHeight="1" x14ac:dyDescent="0.3">
      <c r="A52" s="16" t="s">
        <v>117</v>
      </c>
      <c r="B52" s="16" t="s">
        <v>77</v>
      </c>
      <c r="C52" s="16" t="s">
        <v>97</v>
      </c>
      <c r="D52" s="17">
        <v>0</v>
      </c>
      <c r="E52" s="17">
        <v>0</v>
      </c>
      <c r="F52" s="17">
        <v>0</v>
      </c>
      <c r="G52" s="17">
        <v>0</v>
      </c>
      <c r="H52" s="17">
        <v>0</v>
      </c>
      <c r="I52" s="18">
        <v>23.5</v>
      </c>
    </row>
    <row r="53" spans="1:9" ht="15" customHeight="1" x14ac:dyDescent="0.3">
      <c r="A53" s="16" t="s">
        <v>118</v>
      </c>
      <c r="B53" s="16" t="s">
        <v>57</v>
      </c>
      <c r="C53" s="16" t="s">
        <v>84</v>
      </c>
      <c r="D53" s="17">
        <v>0</v>
      </c>
      <c r="E53" s="17">
        <v>0</v>
      </c>
      <c r="F53" s="17">
        <v>0</v>
      </c>
      <c r="G53" s="17">
        <v>0</v>
      </c>
      <c r="H53" s="17">
        <v>0</v>
      </c>
      <c r="I53" s="18">
        <v>22.6</v>
      </c>
    </row>
    <row r="54" spans="1:9" ht="15" customHeight="1" x14ac:dyDescent="0.3">
      <c r="A54" s="16" t="s">
        <v>118</v>
      </c>
      <c r="B54" s="16" t="s">
        <v>57</v>
      </c>
      <c r="C54" s="16" t="s">
        <v>86</v>
      </c>
      <c r="D54" s="17">
        <v>3</v>
      </c>
      <c r="E54" s="17">
        <v>1</v>
      </c>
      <c r="F54" s="17">
        <v>1</v>
      </c>
      <c r="G54" s="17">
        <v>0</v>
      </c>
      <c r="H54" s="17">
        <v>8</v>
      </c>
      <c r="I54" s="18">
        <v>28.4</v>
      </c>
    </row>
    <row r="55" spans="1:9" ht="15" customHeight="1" x14ac:dyDescent="0.3">
      <c r="A55" s="16" t="s">
        <v>118</v>
      </c>
      <c r="B55" s="16" t="s">
        <v>65</v>
      </c>
      <c r="C55" s="16" t="s">
        <v>86</v>
      </c>
      <c r="D55" s="17">
        <v>1</v>
      </c>
      <c r="E55" s="17">
        <v>0</v>
      </c>
      <c r="F55" s="17">
        <v>1</v>
      </c>
      <c r="G55" s="17">
        <v>0</v>
      </c>
      <c r="H55" s="17">
        <v>2</v>
      </c>
      <c r="I55" s="18">
        <v>33.4</v>
      </c>
    </row>
    <row r="56" spans="1:9" ht="15" customHeight="1" x14ac:dyDescent="0.3">
      <c r="A56" s="16" t="s">
        <v>118</v>
      </c>
      <c r="B56" s="16" t="s">
        <v>69</v>
      </c>
      <c r="C56" s="16" t="s">
        <v>84</v>
      </c>
      <c r="D56" s="17">
        <v>1</v>
      </c>
      <c r="E56" s="17">
        <v>0</v>
      </c>
      <c r="F56" s="17">
        <v>1</v>
      </c>
      <c r="G56" s="17">
        <v>0</v>
      </c>
      <c r="H56" s="17">
        <v>5</v>
      </c>
      <c r="I56" s="18">
        <v>31.5</v>
      </c>
    </row>
    <row r="57" spans="1:9" ht="15" customHeight="1" x14ac:dyDescent="0.3">
      <c r="A57" s="16" t="s">
        <v>118</v>
      </c>
      <c r="B57" s="16" t="s">
        <v>71</v>
      </c>
      <c r="C57" s="16" t="s">
        <v>84</v>
      </c>
      <c r="D57" s="17">
        <v>0</v>
      </c>
      <c r="E57" s="17">
        <v>0</v>
      </c>
      <c r="F57" s="17">
        <v>0</v>
      </c>
      <c r="G57" s="17">
        <v>0</v>
      </c>
      <c r="H57" s="17">
        <v>0</v>
      </c>
      <c r="I57" s="18">
        <v>25.4</v>
      </c>
    </row>
    <row r="58" spans="1:9" ht="15" customHeight="1" x14ac:dyDescent="0.3">
      <c r="A58" s="16" t="s">
        <v>118</v>
      </c>
      <c r="B58" s="16" t="s">
        <v>73</v>
      </c>
      <c r="C58" s="16" t="s">
        <v>89</v>
      </c>
      <c r="D58" s="17">
        <v>0</v>
      </c>
      <c r="E58" s="17">
        <v>0</v>
      </c>
      <c r="F58" s="17">
        <v>0</v>
      </c>
      <c r="G58" s="17">
        <v>0</v>
      </c>
      <c r="H58" s="17">
        <v>0</v>
      </c>
      <c r="I58" s="18">
        <v>20.6</v>
      </c>
    </row>
    <row r="59" spans="1:9" ht="15" customHeight="1" x14ac:dyDescent="0.3">
      <c r="A59" s="16" t="s">
        <v>118</v>
      </c>
      <c r="B59" s="16" t="s">
        <v>77</v>
      </c>
      <c r="C59" s="16" t="s">
        <v>97</v>
      </c>
      <c r="D59" s="17">
        <v>3</v>
      </c>
      <c r="E59" s="17">
        <v>2</v>
      </c>
      <c r="F59" s="17">
        <v>1</v>
      </c>
      <c r="G59" s="17">
        <v>0</v>
      </c>
      <c r="H59" s="17">
        <v>8</v>
      </c>
      <c r="I59" s="18">
        <v>30.3</v>
      </c>
    </row>
    <row r="60" spans="1:9" ht="15" customHeight="1" x14ac:dyDescent="0.3">
      <c r="A60" s="16" t="s">
        <v>119</v>
      </c>
      <c r="B60" s="16" t="s">
        <v>57</v>
      </c>
      <c r="C60" s="16" t="s">
        <v>84</v>
      </c>
      <c r="D60" s="17">
        <v>1</v>
      </c>
      <c r="E60" s="17">
        <v>0</v>
      </c>
      <c r="F60" s="17">
        <v>1</v>
      </c>
      <c r="G60" s="17">
        <v>0</v>
      </c>
      <c r="H60" s="17">
        <v>3</v>
      </c>
      <c r="I60" s="18">
        <v>33.299999999999997</v>
      </c>
    </row>
    <row r="61" spans="1:9" ht="15" customHeight="1" x14ac:dyDescent="0.3">
      <c r="A61" s="16" t="s">
        <v>119</v>
      </c>
      <c r="B61" s="16" t="s">
        <v>57</v>
      </c>
      <c r="C61" s="16" t="s">
        <v>86</v>
      </c>
      <c r="D61" s="17">
        <v>2</v>
      </c>
      <c r="E61" s="17">
        <v>1</v>
      </c>
      <c r="F61" s="17">
        <v>1</v>
      </c>
      <c r="G61" s="17">
        <v>0</v>
      </c>
      <c r="H61" s="17">
        <v>4</v>
      </c>
      <c r="I61" s="18">
        <v>30.7</v>
      </c>
    </row>
    <row r="62" spans="1:9" ht="15" customHeight="1" x14ac:dyDescent="0.3">
      <c r="A62" s="16" t="s">
        <v>119</v>
      </c>
      <c r="B62" s="16" t="s">
        <v>65</v>
      </c>
      <c r="C62" s="16" t="s">
        <v>86</v>
      </c>
      <c r="D62" s="17">
        <v>0</v>
      </c>
      <c r="E62" s="17">
        <v>0</v>
      </c>
      <c r="F62" s="17">
        <v>0</v>
      </c>
      <c r="G62" s="17">
        <v>0</v>
      </c>
      <c r="H62" s="17">
        <v>1</v>
      </c>
      <c r="I62" s="18">
        <v>22.7</v>
      </c>
    </row>
    <row r="63" spans="1:9" ht="15" customHeight="1" x14ac:dyDescent="0.3">
      <c r="A63" s="16" t="s">
        <v>119</v>
      </c>
      <c r="B63" s="16" t="s">
        <v>69</v>
      </c>
      <c r="C63" s="16" t="s">
        <v>84</v>
      </c>
      <c r="D63" s="17">
        <v>0</v>
      </c>
      <c r="E63" s="17">
        <v>0</v>
      </c>
      <c r="F63" s="17">
        <v>0</v>
      </c>
      <c r="G63" s="17">
        <v>0</v>
      </c>
      <c r="H63" s="17">
        <v>2</v>
      </c>
      <c r="I63" s="18">
        <v>20.5</v>
      </c>
    </row>
    <row r="64" spans="1:9" ht="15" customHeight="1" x14ac:dyDescent="0.3">
      <c r="A64" s="16" t="s">
        <v>119</v>
      </c>
      <c r="B64" s="16" t="s">
        <v>71</v>
      </c>
      <c r="C64" s="16" t="s">
        <v>84</v>
      </c>
      <c r="D64" s="17">
        <v>1</v>
      </c>
      <c r="E64" s="17">
        <v>0</v>
      </c>
      <c r="F64" s="17">
        <v>1</v>
      </c>
      <c r="G64" s="17">
        <v>0</v>
      </c>
      <c r="H64" s="17">
        <v>1</v>
      </c>
      <c r="I64" s="18">
        <v>32</v>
      </c>
    </row>
    <row r="65" spans="1:9" ht="15" customHeight="1" x14ac:dyDescent="0.3">
      <c r="A65" s="16" t="s">
        <v>119</v>
      </c>
      <c r="B65" s="16" t="s">
        <v>73</v>
      </c>
      <c r="C65" s="16" t="s">
        <v>89</v>
      </c>
      <c r="D65" s="17">
        <v>2</v>
      </c>
      <c r="E65" s="17">
        <v>1</v>
      </c>
      <c r="F65" s="17">
        <v>1</v>
      </c>
      <c r="G65" s="17">
        <v>0</v>
      </c>
      <c r="H65" s="17">
        <v>6</v>
      </c>
      <c r="I65" s="18">
        <v>34.799999999999997</v>
      </c>
    </row>
    <row r="66" spans="1:9" ht="15" customHeight="1" x14ac:dyDescent="0.3">
      <c r="A66" s="16" t="s">
        <v>119</v>
      </c>
      <c r="B66" s="16" t="s">
        <v>77</v>
      </c>
      <c r="C66" s="16" t="s">
        <v>97</v>
      </c>
      <c r="D66" s="17">
        <v>0</v>
      </c>
      <c r="E66" s="17">
        <v>0</v>
      </c>
      <c r="F66" s="17">
        <v>0</v>
      </c>
      <c r="G66" s="17">
        <v>0</v>
      </c>
      <c r="H66" s="17">
        <v>1</v>
      </c>
      <c r="I66" s="18">
        <v>20.7</v>
      </c>
    </row>
    <row r="67" spans="1:9" ht="15" customHeight="1" x14ac:dyDescent="0.3">
      <c r="A67" s="16" t="s">
        <v>120</v>
      </c>
      <c r="B67" s="16" t="s">
        <v>57</v>
      </c>
      <c r="C67" s="16" t="s">
        <v>84</v>
      </c>
      <c r="D67" s="17">
        <v>1</v>
      </c>
      <c r="E67" s="17">
        <v>0</v>
      </c>
      <c r="F67" s="17">
        <v>1</v>
      </c>
      <c r="G67" s="17">
        <v>0</v>
      </c>
      <c r="H67" s="17">
        <v>2</v>
      </c>
      <c r="I67" s="18">
        <v>21.3</v>
      </c>
    </row>
    <row r="68" spans="1:9" ht="15" customHeight="1" x14ac:dyDescent="0.3">
      <c r="A68" s="16" t="s">
        <v>120</v>
      </c>
      <c r="B68" s="16" t="s">
        <v>57</v>
      </c>
      <c r="C68" s="16" t="s">
        <v>86</v>
      </c>
      <c r="D68" s="17">
        <v>0</v>
      </c>
      <c r="E68" s="17">
        <v>0</v>
      </c>
      <c r="F68" s="17">
        <v>0</v>
      </c>
      <c r="G68" s="17">
        <v>0</v>
      </c>
      <c r="H68" s="17">
        <v>0</v>
      </c>
      <c r="I68" s="18">
        <v>25.5</v>
      </c>
    </row>
    <row r="69" spans="1:9" ht="15" customHeight="1" x14ac:dyDescent="0.3">
      <c r="A69" s="16" t="s">
        <v>120</v>
      </c>
      <c r="B69" s="16" t="s">
        <v>65</v>
      </c>
      <c r="C69" s="16" t="s">
        <v>86</v>
      </c>
      <c r="D69" s="17">
        <v>1</v>
      </c>
      <c r="E69" s="17">
        <v>0</v>
      </c>
      <c r="F69" s="17">
        <v>1</v>
      </c>
      <c r="G69" s="17">
        <v>0</v>
      </c>
      <c r="H69" s="17">
        <v>2</v>
      </c>
      <c r="I69" s="18">
        <v>24.8</v>
      </c>
    </row>
    <row r="70" spans="1:9" ht="15" customHeight="1" x14ac:dyDescent="0.3">
      <c r="A70" s="16" t="s">
        <v>120</v>
      </c>
      <c r="B70" s="16" t="s">
        <v>69</v>
      </c>
      <c r="C70" s="16" t="s">
        <v>84</v>
      </c>
      <c r="D70" s="17">
        <v>4</v>
      </c>
      <c r="E70" s="17">
        <v>2</v>
      </c>
      <c r="F70" s="17">
        <v>1</v>
      </c>
      <c r="G70" s="17">
        <v>0</v>
      </c>
      <c r="H70" s="17">
        <v>7</v>
      </c>
      <c r="I70" s="18">
        <v>28.6</v>
      </c>
    </row>
    <row r="71" spans="1:9" ht="15" customHeight="1" x14ac:dyDescent="0.3">
      <c r="A71" s="16" t="s">
        <v>120</v>
      </c>
      <c r="B71" s="16" t="s">
        <v>71</v>
      </c>
      <c r="C71" s="16" t="s">
        <v>84</v>
      </c>
      <c r="D71" s="17">
        <v>1</v>
      </c>
      <c r="E71" s="17">
        <v>0</v>
      </c>
      <c r="F71" s="17">
        <v>1</v>
      </c>
      <c r="G71" s="17">
        <v>0</v>
      </c>
      <c r="H71" s="17">
        <v>4</v>
      </c>
      <c r="I71" s="18">
        <v>33.799999999999997</v>
      </c>
    </row>
    <row r="72" spans="1:9" ht="15" customHeight="1" x14ac:dyDescent="0.3">
      <c r="A72" s="16" t="s">
        <v>120</v>
      </c>
      <c r="B72" s="16" t="s">
        <v>73</v>
      </c>
      <c r="C72" s="16" t="s">
        <v>89</v>
      </c>
      <c r="D72" s="17">
        <v>3</v>
      </c>
      <c r="E72" s="17">
        <v>2</v>
      </c>
      <c r="F72" s="17">
        <v>1</v>
      </c>
      <c r="G72" s="17">
        <v>0</v>
      </c>
      <c r="H72" s="17">
        <v>5</v>
      </c>
      <c r="I72" s="18">
        <v>29.1</v>
      </c>
    </row>
    <row r="73" spans="1:9" ht="15" customHeight="1" x14ac:dyDescent="0.3">
      <c r="A73" s="16" t="s">
        <v>120</v>
      </c>
      <c r="B73" s="16" t="s">
        <v>77</v>
      </c>
      <c r="C73" s="16" t="s">
        <v>97</v>
      </c>
      <c r="D73" s="17">
        <v>1</v>
      </c>
      <c r="E73" s="17">
        <v>0</v>
      </c>
      <c r="F73" s="17">
        <v>1</v>
      </c>
      <c r="G73" s="17">
        <v>0</v>
      </c>
      <c r="H73" s="17">
        <v>1</v>
      </c>
      <c r="I73" s="18">
        <v>25.6</v>
      </c>
    </row>
    <row r="74" spans="1:9" ht="15" customHeight="1" x14ac:dyDescent="0.3">
      <c r="A74" s="16" t="s">
        <v>121</v>
      </c>
      <c r="B74" s="16" t="s">
        <v>57</v>
      </c>
      <c r="C74" s="16" t="s">
        <v>84</v>
      </c>
      <c r="D74" s="17">
        <v>1</v>
      </c>
      <c r="E74" s="17">
        <v>0</v>
      </c>
      <c r="F74" s="17">
        <v>1</v>
      </c>
      <c r="G74" s="17">
        <v>0</v>
      </c>
      <c r="H74" s="17">
        <v>1</v>
      </c>
      <c r="I74" s="18">
        <v>23.9</v>
      </c>
    </row>
    <row r="75" spans="1:9" ht="15" customHeight="1" x14ac:dyDescent="0.3">
      <c r="A75" s="16" t="s">
        <v>121</v>
      </c>
      <c r="B75" s="16" t="s">
        <v>57</v>
      </c>
      <c r="C75" s="16" t="s">
        <v>86</v>
      </c>
      <c r="D75" s="17">
        <v>7</v>
      </c>
      <c r="E75" s="17">
        <v>4</v>
      </c>
      <c r="F75" s="17">
        <v>2</v>
      </c>
      <c r="G75" s="17">
        <v>0</v>
      </c>
      <c r="H75" s="17">
        <v>20</v>
      </c>
      <c r="I75" s="18">
        <v>30.8</v>
      </c>
    </row>
    <row r="76" spans="1:9" ht="15" customHeight="1" x14ac:dyDescent="0.3">
      <c r="A76" s="16" t="s">
        <v>121</v>
      </c>
      <c r="B76" s="16" t="s">
        <v>65</v>
      </c>
      <c r="C76" s="16" t="s">
        <v>86</v>
      </c>
      <c r="D76" s="17">
        <v>2</v>
      </c>
      <c r="E76" s="17">
        <v>1</v>
      </c>
      <c r="F76" s="17">
        <v>1</v>
      </c>
      <c r="G76" s="17">
        <v>0</v>
      </c>
      <c r="H76" s="17">
        <v>3</v>
      </c>
      <c r="I76" s="18">
        <v>34.4</v>
      </c>
    </row>
    <row r="77" spans="1:9" ht="15" customHeight="1" x14ac:dyDescent="0.3">
      <c r="A77" s="16" t="s">
        <v>121</v>
      </c>
      <c r="B77" s="16" t="s">
        <v>69</v>
      </c>
      <c r="C77" s="16" t="s">
        <v>84</v>
      </c>
      <c r="D77" s="17">
        <v>0</v>
      </c>
      <c r="E77" s="17">
        <v>0</v>
      </c>
      <c r="F77" s="17">
        <v>0</v>
      </c>
      <c r="G77" s="17">
        <v>0</v>
      </c>
      <c r="H77" s="17">
        <v>1</v>
      </c>
      <c r="I77" s="18">
        <v>24.4</v>
      </c>
    </row>
    <row r="78" spans="1:9" ht="15" customHeight="1" x14ac:dyDescent="0.3">
      <c r="A78" s="16" t="s">
        <v>121</v>
      </c>
      <c r="B78" s="16" t="s">
        <v>71</v>
      </c>
      <c r="C78" s="16" t="s">
        <v>84</v>
      </c>
      <c r="D78" s="17">
        <v>1</v>
      </c>
      <c r="E78" s="17">
        <v>0</v>
      </c>
      <c r="F78" s="17">
        <v>1</v>
      </c>
      <c r="G78" s="17">
        <v>0</v>
      </c>
      <c r="H78" s="17">
        <v>2</v>
      </c>
      <c r="I78" s="18">
        <v>25.4</v>
      </c>
    </row>
    <row r="79" spans="1:9" ht="15" customHeight="1" x14ac:dyDescent="0.3">
      <c r="A79" s="16" t="s">
        <v>121</v>
      </c>
      <c r="B79" s="16" t="s">
        <v>73</v>
      </c>
      <c r="C79" s="16" t="s">
        <v>89</v>
      </c>
      <c r="D79" s="17">
        <v>6</v>
      </c>
      <c r="E79" s="17">
        <v>4</v>
      </c>
      <c r="F79" s="17">
        <v>2</v>
      </c>
      <c r="G79" s="17">
        <v>1</v>
      </c>
      <c r="H79" s="17">
        <v>11</v>
      </c>
      <c r="I79" s="18">
        <v>33.1</v>
      </c>
    </row>
    <row r="80" spans="1:9" ht="15" customHeight="1" x14ac:dyDescent="0.3">
      <c r="A80" s="16" t="s">
        <v>121</v>
      </c>
      <c r="B80" s="16" t="s">
        <v>77</v>
      </c>
      <c r="C80" s="16" t="s">
        <v>97</v>
      </c>
      <c r="D80" s="17">
        <v>4</v>
      </c>
      <c r="E80" s="17">
        <v>1</v>
      </c>
      <c r="F80" s="17">
        <v>2</v>
      </c>
      <c r="G80" s="17">
        <v>0</v>
      </c>
      <c r="H80" s="17">
        <v>6</v>
      </c>
      <c r="I80" s="18">
        <v>36</v>
      </c>
    </row>
    <row r="81" spans="1:9" ht="15" customHeight="1" x14ac:dyDescent="0.3">
      <c r="A81" s="16" t="s">
        <v>204</v>
      </c>
      <c r="B81" s="16" t="s">
        <v>57</v>
      </c>
      <c r="C81" s="16" t="s">
        <v>84</v>
      </c>
      <c r="D81" s="17">
        <v>0</v>
      </c>
      <c r="E81" s="17">
        <v>0</v>
      </c>
      <c r="F81" s="17">
        <v>0</v>
      </c>
      <c r="G81" s="17">
        <v>0</v>
      </c>
      <c r="H81" s="17">
        <v>1</v>
      </c>
      <c r="I81" s="18">
        <v>20.8</v>
      </c>
    </row>
    <row r="82" spans="1:9" ht="15" customHeight="1" x14ac:dyDescent="0.3">
      <c r="A82" s="16" t="s">
        <v>204</v>
      </c>
      <c r="B82" s="16" t="s">
        <v>57</v>
      </c>
      <c r="C82" s="16" t="s">
        <v>86</v>
      </c>
      <c r="D82" s="17">
        <v>1</v>
      </c>
      <c r="E82" s="17">
        <v>0</v>
      </c>
      <c r="F82" s="17">
        <v>1</v>
      </c>
      <c r="G82" s="17">
        <v>0</v>
      </c>
      <c r="H82" s="17">
        <v>2</v>
      </c>
      <c r="I82" s="18">
        <v>20.9</v>
      </c>
    </row>
    <row r="83" spans="1:9" ht="15" customHeight="1" x14ac:dyDescent="0.3">
      <c r="A83" s="16" t="s">
        <v>204</v>
      </c>
      <c r="B83" s="16" t="s">
        <v>65</v>
      </c>
      <c r="C83" s="16" t="s">
        <v>86</v>
      </c>
      <c r="D83" s="17">
        <v>2</v>
      </c>
      <c r="E83" s="17">
        <v>1</v>
      </c>
      <c r="F83" s="17">
        <v>1</v>
      </c>
      <c r="G83" s="17">
        <v>0</v>
      </c>
      <c r="H83" s="17">
        <v>5</v>
      </c>
      <c r="I83" s="18">
        <v>32</v>
      </c>
    </row>
    <row r="84" spans="1:9" ht="15" customHeight="1" x14ac:dyDescent="0.3">
      <c r="A84" s="16" t="s">
        <v>204</v>
      </c>
      <c r="B84" s="16" t="s">
        <v>69</v>
      </c>
      <c r="C84" s="16" t="s">
        <v>84</v>
      </c>
      <c r="D84" s="17">
        <v>1</v>
      </c>
      <c r="E84" s="17">
        <v>0</v>
      </c>
      <c r="F84" s="17">
        <v>1</v>
      </c>
      <c r="G84" s="17">
        <v>0</v>
      </c>
      <c r="H84" s="17">
        <v>2</v>
      </c>
      <c r="I84" s="18">
        <v>34.799999999999997</v>
      </c>
    </row>
    <row r="85" spans="1:9" ht="15" customHeight="1" x14ac:dyDescent="0.3">
      <c r="A85" s="16" t="s">
        <v>204</v>
      </c>
      <c r="B85" s="16" t="s">
        <v>71</v>
      </c>
      <c r="C85" s="16" t="s">
        <v>84</v>
      </c>
      <c r="D85" s="17">
        <v>1</v>
      </c>
      <c r="E85" s="17">
        <v>0</v>
      </c>
      <c r="F85" s="17">
        <v>1</v>
      </c>
      <c r="G85" s="17">
        <v>0</v>
      </c>
      <c r="H85" s="17">
        <v>2</v>
      </c>
      <c r="I85" s="18">
        <v>31.1</v>
      </c>
    </row>
    <row r="86" spans="1:9" ht="15" customHeight="1" x14ac:dyDescent="0.3">
      <c r="A86" s="16" t="s">
        <v>204</v>
      </c>
      <c r="B86" s="16" t="s">
        <v>73</v>
      </c>
      <c r="C86" s="16" t="s">
        <v>89</v>
      </c>
      <c r="D86" s="17">
        <v>0</v>
      </c>
      <c r="E86" s="17">
        <v>0</v>
      </c>
      <c r="F86" s="17">
        <v>0</v>
      </c>
      <c r="G86" s="17">
        <v>0</v>
      </c>
      <c r="H86" s="17">
        <v>0</v>
      </c>
      <c r="I86" s="18">
        <v>23.4</v>
      </c>
    </row>
    <row r="87" spans="1:9" ht="15" customHeight="1" x14ac:dyDescent="0.3">
      <c r="A87" s="16" t="s">
        <v>204</v>
      </c>
      <c r="B87" s="16" t="s">
        <v>77</v>
      </c>
      <c r="C87" s="16" t="s">
        <v>97</v>
      </c>
      <c r="D87" s="17">
        <v>0</v>
      </c>
      <c r="E87" s="17">
        <v>0</v>
      </c>
      <c r="F87" s="17">
        <v>0</v>
      </c>
      <c r="G87" s="17">
        <v>0</v>
      </c>
      <c r="H87" s="17">
        <v>1</v>
      </c>
      <c r="I87" s="18">
        <v>20.8</v>
      </c>
    </row>
  </sheetData>
  <autoFilter ref="A1:I1" xr:uid="{00000000-0009-0000-0000-000004000000}"/>
  <dataValidations count="2">
    <dataValidation type="textLength" operator="equal" allowBlank="1" showErrorMessage="1" errorTitle="Periodo mal escrito" error="El periodo se escribe AAAA-MM, por ejemplo 2026-08." promptTitle="Periodo" prompt="AAAA-MM (ejemplo: 2026-08)" sqref="A2:A1087" xr:uid="{00000000-0002-0000-04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D2:I1087" xr:uid="{00000000-0002-0000-0400-000003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Clave inexistente" error="Esa clave no existe en la hoja dim_unidad. Agrégala primero al catálogo." xr:uid="{00000000-0002-0000-0400-000001000000}">
          <x14:formula1>
            <xm:f>dim_unidad!$A$2:$A$5000</xm:f>
          </x14:formula1>
          <x14:formula2>
            <xm:f>0</xm:f>
          </x14:formula2>
          <xm:sqref>B2:B1087</xm:sqref>
        </x14:dataValidation>
        <x14:dataValidation type="list" allowBlank="1" showErrorMessage="1" errorTitle="Clave inexistente" error="Esa clave no existe en la hoja dim_area. Agrégala primero al catálogo." xr:uid="{00000000-0002-0000-0400-000002000000}">
          <x14:formula1>
            <xm:f>dim_area!$A$2:$A$5000</xm:f>
          </x14:formula1>
          <x14:formula2>
            <xm:f>0</xm:f>
          </x14:formula2>
          <xm:sqref>C2:C1087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7"/>
  <sheetViews>
    <sheetView zoomScaleNormal="100" workbookViewId="0">
      <pane ySplit="1" topLeftCell="A64" activePane="bottomLeft" state="frozen"/>
      <selection pane="bottomLeft" activeCell="A2" sqref="A2:C87"/>
    </sheetView>
  </sheetViews>
  <sheetFormatPr baseColWidth="10" defaultColWidth="8.6640625" defaultRowHeight="14.4" x14ac:dyDescent="0.3"/>
  <cols>
    <col min="1" max="1" width="11" customWidth="1"/>
    <col min="2" max="3" width="26" customWidth="1"/>
    <col min="4" max="5" width="15" customWidth="1"/>
    <col min="6" max="7" width="13" customWidth="1"/>
  </cols>
  <sheetData>
    <row r="1" spans="1:7" ht="30" customHeight="1" x14ac:dyDescent="0.3">
      <c r="A1" s="15" t="s">
        <v>100</v>
      </c>
      <c r="B1" s="15" t="s">
        <v>51</v>
      </c>
      <c r="C1" s="15" t="s">
        <v>80</v>
      </c>
      <c r="D1" s="15" t="s">
        <v>128</v>
      </c>
      <c r="E1" s="15" t="s">
        <v>129</v>
      </c>
      <c r="F1" s="15" t="s">
        <v>130</v>
      </c>
      <c r="G1" s="15" t="s">
        <v>131</v>
      </c>
    </row>
    <row r="2" spans="1:7" ht="15" customHeight="1" x14ac:dyDescent="0.3">
      <c r="A2" s="16" t="s">
        <v>110</v>
      </c>
      <c r="B2" s="16" t="s">
        <v>57</v>
      </c>
      <c r="C2" s="16" t="s">
        <v>84</v>
      </c>
      <c r="D2" s="18">
        <v>50304</v>
      </c>
      <c r="E2" s="18">
        <v>1741.4</v>
      </c>
      <c r="F2" s="17">
        <v>10</v>
      </c>
      <c r="G2" s="17">
        <v>81</v>
      </c>
    </row>
    <row r="3" spans="1:7" ht="15" customHeight="1" x14ac:dyDescent="0.3">
      <c r="A3" s="16" t="s">
        <v>110</v>
      </c>
      <c r="B3" s="16" t="s">
        <v>57</v>
      </c>
      <c r="C3" s="16" t="s">
        <v>86</v>
      </c>
      <c r="D3" s="18">
        <v>18048</v>
      </c>
      <c r="E3" s="18">
        <v>763.2</v>
      </c>
      <c r="F3" s="17">
        <v>3</v>
      </c>
      <c r="G3" s="17">
        <v>22</v>
      </c>
    </row>
    <row r="4" spans="1:7" ht="15" customHeight="1" x14ac:dyDescent="0.3">
      <c r="A4" s="16" t="s">
        <v>110</v>
      </c>
      <c r="B4" s="16" t="s">
        <v>65</v>
      </c>
      <c r="C4" s="16" t="s">
        <v>86</v>
      </c>
      <c r="D4" s="18">
        <v>30912</v>
      </c>
      <c r="E4" s="18">
        <v>1308</v>
      </c>
      <c r="F4" s="17">
        <v>4</v>
      </c>
      <c r="G4" s="17">
        <v>24</v>
      </c>
    </row>
    <row r="5" spans="1:7" ht="15" customHeight="1" x14ac:dyDescent="0.3">
      <c r="A5" s="16" t="s">
        <v>110</v>
      </c>
      <c r="B5" s="16" t="s">
        <v>69</v>
      </c>
      <c r="C5" s="16" t="s">
        <v>84</v>
      </c>
      <c r="D5" s="18">
        <v>4928</v>
      </c>
      <c r="E5" s="18">
        <v>200.8</v>
      </c>
      <c r="F5" s="17">
        <v>1</v>
      </c>
      <c r="G5" s="17">
        <v>7</v>
      </c>
    </row>
    <row r="6" spans="1:7" ht="15" customHeight="1" x14ac:dyDescent="0.3">
      <c r="A6" s="16" t="s">
        <v>110</v>
      </c>
      <c r="B6" s="16" t="s">
        <v>73</v>
      </c>
      <c r="C6" s="16" t="s">
        <v>89</v>
      </c>
      <c r="D6" s="18">
        <v>7216</v>
      </c>
      <c r="E6" s="18">
        <v>237.1</v>
      </c>
      <c r="F6" s="17">
        <v>1</v>
      </c>
      <c r="G6" s="17">
        <v>7</v>
      </c>
    </row>
    <row r="7" spans="1:7" ht="15" customHeight="1" x14ac:dyDescent="0.3">
      <c r="A7" s="16" t="s">
        <v>110</v>
      </c>
      <c r="B7" s="16" t="s">
        <v>77</v>
      </c>
      <c r="C7" s="16" t="s">
        <v>97</v>
      </c>
      <c r="D7" s="18">
        <v>94272</v>
      </c>
      <c r="E7" s="18">
        <v>2480.8000000000002</v>
      </c>
      <c r="F7" s="17">
        <v>11</v>
      </c>
      <c r="G7" s="17">
        <v>41</v>
      </c>
    </row>
    <row r="8" spans="1:7" ht="15" customHeight="1" x14ac:dyDescent="0.3">
      <c r="A8" s="16" t="s">
        <v>111</v>
      </c>
      <c r="B8" s="16" t="s">
        <v>57</v>
      </c>
      <c r="C8" s="16" t="s">
        <v>84</v>
      </c>
      <c r="D8" s="18">
        <v>36288</v>
      </c>
      <c r="E8" s="18">
        <v>1070.4000000000001</v>
      </c>
      <c r="F8" s="17">
        <v>5</v>
      </c>
      <c r="G8" s="17">
        <v>20</v>
      </c>
    </row>
    <row r="9" spans="1:7" ht="15" customHeight="1" x14ac:dyDescent="0.3">
      <c r="A9" s="16" t="s">
        <v>111</v>
      </c>
      <c r="B9" s="16" t="s">
        <v>57</v>
      </c>
      <c r="C9" s="16" t="s">
        <v>86</v>
      </c>
      <c r="D9" s="18">
        <v>5808</v>
      </c>
      <c r="E9" s="18">
        <v>145</v>
      </c>
      <c r="F9" s="17">
        <v>1</v>
      </c>
      <c r="G9" s="17">
        <v>5</v>
      </c>
    </row>
    <row r="10" spans="1:7" ht="15" customHeight="1" x14ac:dyDescent="0.3">
      <c r="A10" s="16" t="s">
        <v>111</v>
      </c>
      <c r="B10" s="16" t="s">
        <v>65</v>
      </c>
      <c r="C10" s="16" t="s">
        <v>86</v>
      </c>
      <c r="D10" s="18">
        <v>8624</v>
      </c>
      <c r="E10" s="18">
        <v>267.8</v>
      </c>
      <c r="F10" s="17">
        <v>1</v>
      </c>
      <c r="G10" s="17">
        <v>7</v>
      </c>
    </row>
    <row r="11" spans="1:7" ht="15" customHeight="1" x14ac:dyDescent="0.3">
      <c r="A11" s="16" t="s">
        <v>111</v>
      </c>
      <c r="B11" s="16" t="s">
        <v>69</v>
      </c>
      <c r="C11" s="16" t="s">
        <v>84</v>
      </c>
      <c r="D11" s="18">
        <v>86976</v>
      </c>
      <c r="E11" s="18">
        <v>2731</v>
      </c>
      <c r="F11" s="17">
        <v>14</v>
      </c>
      <c r="G11" s="17">
        <v>58</v>
      </c>
    </row>
    <row r="12" spans="1:7" ht="15" customHeight="1" x14ac:dyDescent="0.3">
      <c r="A12" s="16" t="s">
        <v>111</v>
      </c>
      <c r="B12" s="16" t="s">
        <v>73</v>
      </c>
      <c r="C12" s="16" t="s">
        <v>89</v>
      </c>
      <c r="D12" s="18">
        <v>33024</v>
      </c>
      <c r="E12" s="18">
        <v>990.8</v>
      </c>
      <c r="F12" s="17">
        <v>5</v>
      </c>
      <c r="G12" s="17">
        <v>25</v>
      </c>
    </row>
    <row r="13" spans="1:7" ht="15" customHeight="1" x14ac:dyDescent="0.3">
      <c r="A13" s="16" t="s">
        <v>111</v>
      </c>
      <c r="B13" s="16" t="s">
        <v>77</v>
      </c>
      <c r="C13" s="16" t="s">
        <v>97</v>
      </c>
      <c r="D13" s="18">
        <v>5280</v>
      </c>
      <c r="E13" s="18">
        <v>199</v>
      </c>
      <c r="F13" s="17">
        <v>1</v>
      </c>
      <c r="G13" s="17">
        <v>6</v>
      </c>
    </row>
    <row r="14" spans="1:7" ht="15" customHeight="1" x14ac:dyDescent="0.3">
      <c r="A14" s="16" t="s">
        <v>112</v>
      </c>
      <c r="B14" s="16" t="s">
        <v>57</v>
      </c>
      <c r="C14" s="16" t="s">
        <v>84</v>
      </c>
      <c r="D14" s="18">
        <v>7568</v>
      </c>
      <c r="E14" s="18">
        <v>230.5</v>
      </c>
      <c r="F14" s="17">
        <v>1</v>
      </c>
      <c r="G14" s="17">
        <v>6</v>
      </c>
    </row>
    <row r="15" spans="1:7" ht="15" customHeight="1" x14ac:dyDescent="0.3">
      <c r="A15" s="16" t="s">
        <v>112</v>
      </c>
      <c r="B15" s="16" t="s">
        <v>57</v>
      </c>
      <c r="C15" s="16" t="s">
        <v>86</v>
      </c>
      <c r="D15" s="18">
        <v>38400</v>
      </c>
      <c r="E15" s="18">
        <v>1016.2</v>
      </c>
      <c r="F15" s="17">
        <v>5</v>
      </c>
      <c r="G15" s="17">
        <v>39</v>
      </c>
    </row>
    <row r="16" spans="1:7" ht="15" customHeight="1" x14ac:dyDescent="0.3">
      <c r="A16" s="16" t="s">
        <v>112</v>
      </c>
      <c r="B16" s="16" t="s">
        <v>65</v>
      </c>
      <c r="C16" s="16" t="s">
        <v>86</v>
      </c>
      <c r="D16" s="18">
        <v>14592</v>
      </c>
      <c r="E16" s="18">
        <v>375.4</v>
      </c>
      <c r="F16" s="17">
        <v>2</v>
      </c>
      <c r="G16" s="17">
        <v>10</v>
      </c>
    </row>
    <row r="17" spans="1:7" ht="15" customHeight="1" x14ac:dyDescent="0.3">
      <c r="A17" s="16" t="s">
        <v>112</v>
      </c>
      <c r="B17" s="16" t="s">
        <v>69</v>
      </c>
      <c r="C17" s="16" t="s">
        <v>84</v>
      </c>
      <c r="D17" s="18">
        <v>26112</v>
      </c>
      <c r="E17" s="18">
        <v>621.70000000000005</v>
      </c>
      <c r="F17" s="17">
        <v>3</v>
      </c>
      <c r="G17" s="17">
        <v>19</v>
      </c>
    </row>
    <row r="18" spans="1:7" ht="15" customHeight="1" x14ac:dyDescent="0.3">
      <c r="A18" s="16" t="s">
        <v>112</v>
      </c>
      <c r="B18" s="16" t="s">
        <v>73</v>
      </c>
      <c r="C18" s="16" t="s">
        <v>89</v>
      </c>
      <c r="D18" s="18">
        <v>3872</v>
      </c>
      <c r="E18" s="18">
        <v>82.2</v>
      </c>
      <c r="F18" s="17">
        <v>1</v>
      </c>
      <c r="G18" s="17">
        <v>3</v>
      </c>
    </row>
    <row r="19" spans="1:7" ht="15" customHeight="1" x14ac:dyDescent="0.3">
      <c r="A19" s="16" t="s">
        <v>112</v>
      </c>
      <c r="B19" s="16" t="s">
        <v>77</v>
      </c>
      <c r="C19" s="16" t="s">
        <v>97</v>
      </c>
      <c r="D19" s="18">
        <v>5984</v>
      </c>
      <c r="E19" s="18">
        <v>148.1</v>
      </c>
      <c r="F19" s="17">
        <v>1</v>
      </c>
      <c r="G19" s="17">
        <v>7</v>
      </c>
    </row>
    <row r="20" spans="1:7" ht="15" customHeight="1" x14ac:dyDescent="0.3">
      <c r="A20" s="16" t="s">
        <v>113</v>
      </c>
      <c r="B20" s="16" t="s">
        <v>57</v>
      </c>
      <c r="C20" s="16" t="s">
        <v>84</v>
      </c>
      <c r="D20" s="18">
        <v>31296</v>
      </c>
      <c r="E20" s="18">
        <v>888.4</v>
      </c>
      <c r="F20" s="17">
        <v>4</v>
      </c>
      <c r="G20" s="17">
        <v>19</v>
      </c>
    </row>
    <row r="21" spans="1:7" ht="15" customHeight="1" x14ac:dyDescent="0.3">
      <c r="A21" s="16" t="s">
        <v>113</v>
      </c>
      <c r="B21" s="16" t="s">
        <v>57</v>
      </c>
      <c r="C21" s="16" t="s">
        <v>86</v>
      </c>
      <c r="D21" s="18">
        <v>11136</v>
      </c>
      <c r="E21" s="18">
        <v>389.4</v>
      </c>
      <c r="F21" s="17">
        <v>2</v>
      </c>
      <c r="G21" s="17">
        <v>14</v>
      </c>
    </row>
    <row r="22" spans="1:7" ht="15" customHeight="1" x14ac:dyDescent="0.3">
      <c r="A22" s="16" t="s">
        <v>113</v>
      </c>
      <c r="B22" s="16" t="s">
        <v>65</v>
      </c>
      <c r="C22" s="16" t="s">
        <v>86</v>
      </c>
      <c r="D22" s="18">
        <v>19392</v>
      </c>
      <c r="E22" s="18">
        <v>590.5</v>
      </c>
      <c r="F22" s="17">
        <v>3</v>
      </c>
      <c r="G22" s="17">
        <v>24</v>
      </c>
    </row>
    <row r="23" spans="1:7" ht="15" customHeight="1" x14ac:dyDescent="0.3">
      <c r="A23" s="16" t="s">
        <v>113</v>
      </c>
      <c r="B23" s="16" t="s">
        <v>69</v>
      </c>
      <c r="C23" s="16" t="s">
        <v>84</v>
      </c>
      <c r="D23" s="18">
        <v>2992</v>
      </c>
      <c r="E23" s="18">
        <v>93.7</v>
      </c>
      <c r="F23" s="17">
        <v>0</v>
      </c>
      <c r="G23" s="17">
        <v>0</v>
      </c>
    </row>
    <row r="24" spans="1:7" ht="15" customHeight="1" x14ac:dyDescent="0.3">
      <c r="A24" s="16" t="s">
        <v>113</v>
      </c>
      <c r="B24" s="16" t="s">
        <v>73</v>
      </c>
      <c r="C24" s="16" t="s">
        <v>89</v>
      </c>
      <c r="D24" s="18">
        <v>4752</v>
      </c>
      <c r="E24" s="18">
        <v>153.1</v>
      </c>
      <c r="F24" s="17">
        <v>1</v>
      </c>
      <c r="G24" s="17">
        <v>6</v>
      </c>
    </row>
    <row r="25" spans="1:7" ht="15" customHeight="1" x14ac:dyDescent="0.3">
      <c r="A25" s="16" t="s">
        <v>113</v>
      </c>
      <c r="B25" s="16" t="s">
        <v>77</v>
      </c>
      <c r="C25" s="16" t="s">
        <v>97</v>
      </c>
      <c r="D25" s="18">
        <v>44352</v>
      </c>
      <c r="E25" s="18">
        <v>1005.9</v>
      </c>
      <c r="F25" s="17">
        <v>6</v>
      </c>
      <c r="G25" s="17">
        <v>33</v>
      </c>
    </row>
    <row r="26" spans="1:7" ht="15" customHeight="1" x14ac:dyDescent="0.3">
      <c r="A26" s="16" t="s">
        <v>114</v>
      </c>
      <c r="B26" s="16" t="s">
        <v>57</v>
      </c>
      <c r="C26" s="16" t="s">
        <v>84</v>
      </c>
      <c r="D26" s="18">
        <v>16512</v>
      </c>
      <c r="E26" s="18">
        <v>473.5</v>
      </c>
      <c r="F26" s="17">
        <v>2</v>
      </c>
      <c r="G26" s="17">
        <v>10</v>
      </c>
    </row>
    <row r="27" spans="1:7" ht="15" customHeight="1" x14ac:dyDescent="0.3">
      <c r="A27" s="16" t="s">
        <v>114</v>
      </c>
      <c r="B27" s="16" t="s">
        <v>57</v>
      </c>
      <c r="C27" s="16" t="s">
        <v>86</v>
      </c>
      <c r="D27" s="18">
        <v>27840</v>
      </c>
      <c r="E27" s="18">
        <v>806.5</v>
      </c>
      <c r="F27" s="17">
        <v>3</v>
      </c>
      <c r="G27" s="17">
        <v>13</v>
      </c>
    </row>
    <row r="28" spans="1:7" ht="15" customHeight="1" x14ac:dyDescent="0.3">
      <c r="A28" s="16" t="s">
        <v>114</v>
      </c>
      <c r="B28" s="16" t="s">
        <v>65</v>
      </c>
      <c r="C28" s="16" t="s">
        <v>86</v>
      </c>
      <c r="D28" s="18">
        <v>4576</v>
      </c>
      <c r="E28" s="18">
        <v>131.6</v>
      </c>
      <c r="F28" s="17">
        <v>1</v>
      </c>
      <c r="G28" s="17">
        <v>3</v>
      </c>
    </row>
    <row r="29" spans="1:7" ht="15" customHeight="1" x14ac:dyDescent="0.3">
      <c r="A29" s="16" t="s">
        <v>114</v>
      </c>
      <c r="B29" s="16" t="s">
        <v>69</v>
      </c>
      <c r="C29" s="16" t="s">
        <v>84</v>
      </c>
      <c r="D29" s="18">
        <v>6512</v>
      </c>
      <c r="E29" s="18">
        <v>146.9</v>
      </c>
      <c r="F29" s="17">
        <v>1</v>
      </c>
      <c r="G29" s="17">
        <v>4</v>
      </c>
    </row>
    <row r="30" spans="1:7" ht="15" customHeight="1" x14ac:dyDescent="0.3">
      <c r="A30" s="16" t="s">
        <v>114</v>
      </c>
      <c r="B30" s="16" t="s">
        <v>73</v>
      </c>
      <c r="C30" s="16" t="s">
        <v>89</v>
      </c>
      <c r="D30" s="18">
        <v>13248</v>
      </c>
      <c r="E30" s="18">
        <v>390.9</v>
      </c>
      <c r="F30" s="17">
        <v>2</v>
      </c>
      <c r="G30" s="17">
        <v>10</v>
      </c>
    </row>
    <row r="31" spans="1:7" ht="15" customHeight="1" x14ac:dyDescent="0.3">
      <c r="A31" s="16" t="s">
        <v>114</v>
      </c>
      <c r="B31" s="16" t="s">
        <v>77</v>
      </c>
      <c r="C31" s="16" t="s">
        <v>97</v>
      </c>
      <c r="D31" s="18">
        <v>31296</v>
      </c>
      <c r="E31" s="18">
        <v>817.8</v>
      </c>
      <c r="F31" s="17">
        <v>4</v>
      </c>
      <c r="G31" s="17">
        <v>30</v>
      </c>
    </row>
    <row r="32" spans="1:7" ht="15" customHeight="1" x14ac:dyDescent="0.3">
      <c r="A32" s="16" t="s">
        <v>115</v>
      </c>
      <c r="B32" s="16" t="s">
        <v>57</v>
      </c>
      <c r="C32" s="16" t="s">
        <v>84</v>
      </c>
      <c r="D32" s="18">
        <v>4928</v>
      </c>
      <c r="E32" s="18">
        <v>132.4</v>
      </c>
      <c r="F32" s="17">
        <v>1</v>
      </c>
      <c r="G32" s="17">
        <v>5</v>
      </c>
    </row>
    <row r="33" spans="1:7" ht="15" customHeight="1" x14ac:dyDescent="0.3">
      <c r="A33" s="16" t="s">
        <v>115</v>
      </c>
      <c r="B33" s="16" t="s">
        <v>57</v>
      </c>
      <c r="C33" s="16" t="s">
        <v>86</v>
      </c>
      <c r="D33" s="18">
        <v>7216</v>
      </c>
      <c r="E33" s="18">
        <v>216.2</v>
      </c>
      <c r="F33" s="17">
        <v>1</v>
      </c>
      <c r="G33" s="17">
        <v>5</v>
      </c>
    </row>
    <row r="34" spans="1:7" ht="15" customHeight="1" x14ac:dyDescent="0.3">
      <c r="A34" s="16" t="s">
        <v>115</v>
      </c>
      <c r="B34" s="16" t="s">
        <v>65</v>
      </c>
      <c r="C34" s="16" t="s">
        <v>86</v>
      </c>
      <c r="D34" s="18">
        <v>2112</v>
      </c>
      <c r="E34" s="18">
        <v>38.1</v>
      </c>
      <c r="F34" s="17">
        <v>0</v>
      </c>
      <c r="G34" s="17">
        <v>0</v>
      </c>
    </row>
    <row r="35" spans="1:7" ht="15" customHeight="1" x14ac:dyDescent="0.3">
      <c r="A35" s="16" t="s">
        <v>115</v>
      </c>
      <c r="B35" s="16" t="s">
        <v>69</v>
      </c>
      <c r="C35" s="16" t="s">
        <v>84</v>
      </c>
      <c r="D35" s="18">
        <v>16720</v>
      </c>
      <c r="E35" s="18">
        <v>306.60000000000002</v>
      </c>
      <c r="F35" s="17">
        <v>2</v>
      </c>
      <c r="G35" s="17">
        <v>10</v>
      </c>
    </row>
    <row r="36" spans="1:7" ht="15" customHeight="1" x14ac:dyDescent="0.3">
      <c r="A36" s="16" t="s">
        <v>115</v>
      </c>
      <c r="B36" s="16" t="s">
        <v>71</v>
      </c>
      <c r="C36" s="16" t="s">
        <v>84</v>
      </c>
      <c r="D36" s="18">
        <v>48576</v>
      </c>
      <c r="E36" s="18">
        <v>2107.9</v>
      </c>
      <c r="F36" s="17">
        <v>9</v>
      </c>
      <c r="G36" s="17">
        <v>50</v>
      </c>
    </row>
    <row r="37" spans="1:7" ht="15" customHeight="1" x14ac:dyDescent="0.3">
      <c r="A37" s="16" t="s">
        <v>115</v>
      </c>
      <c r="B37" s="16" t="s">
        <v>73</v>
      </c>
      <c r="C37" s="16" t="s">
        <v>89</v>
      </c>
      <c r="D37" s="18">
        <v>18240</v>
      </c>
      <c r="E37" s="18">
        <v>785.7</v>
      </c>
      <c r="F37" s="17">
        <v>3</v>
      </c>
      <c r="G37" s="17">
        <v>15</v>
      </c>
    </row>
    <row r="38" spans="1:7" ht="15" customHeight="1" x14ac:dyDescent="0.3">
      <c r="A38" s="16" t="s">
        <v>115</v>
      </c>
      <c r="B38" s="16" t="s">
        <v>77</v>
      </c>
      <c r="C38" s="16" t="s">
        <v>97</v>
      </c>
      <c r="D38" s="18">
        <v>32256</v>
      </c>
      <c r="E38" s="18">
        <v>1192</v>
      </c>
      <c r="F38" s="17">
        <v>6</v>
      </c>
      <c r="G38" s="17">
        <v>41</v>
      </c>
    </row>
    <row r="39" spans="1:7" ht="15" customHeight="1" x14ac:dyDescent="0.3">
      <c r="A39" s="16" t="s">
        <v>116</v>
      </c>
      <c r="B39" s="16" t="s">
        <v>57</v>
      </c>
      <c r="C39" s="16" t="s">
        <v>84</v>
      </c>
      <c r="D39" s="18">
        <v>4928</v>
      </c>
      <c r="E39" s="18">
        <v>219.2</v>
      </c>
      <c r="F39" s="17">
        <v>1</v>
      </c>
      <c r="G39" s="17">
        <v>4</v>
      </c>
    </row>
    <row r="40" spans="1:7" ht="15" customHeight="1" x14ac:dyDescent="0.3">
      <c r="A40" s="16" t="s">
        <v>116</v>
      </c>
      <c r="B40" s="16" t="s">
        <v>57</v>
      </c>
      <c r="C40" s="16" t="s">
        <v>86</v>
      </c>
      <c r="D40" s="18">
        <v>7568</v>
      </c>
      <c r="E40" s="18">
        <v>325.7</v>
      </c>
      <c r="F40" s="17">
        <v>1</v>
      </c>
      <c r="G40" s="17">
        <v>6</v>
      </c>
    </row>
    <row r="41" spans="1:7" ht="15" customHeight="1" x14ac:dyDescent="0.3">
      <c r="A41" s="16" t="s">
        <v>116</v>
      </c>
      <c r="B41" s="16" t="s">
        <v>65</v>
      </c>
      <c r="C41" s="16" t="s">
        <v>86</v>
      </c>
      <c r="D41" s="18">
        <v>95232</v>
      </c>
      <c r="E41" s="18">
        <v>3246.3</v>
      </c>
      <c r="F41" s="17">
        <v>11</v>
      </c>
      <c r="G41" s="17">
        <v>39</v>
      </c>
    </row>
    <row r="42" spans="1:7" ht="15" customHeight="1" x14ac:dyDescent="0.3">
      <c r="A42" s="16" t="s">
        <v>116</v>
      </c>
      <c r="B42" s="16" t="s">
        <v>69</v>
      </c>
      <c r="C42" s="16" t="s">
        <v>84</v>
      </c>
      <c r="D42" s="18">
        <v>35904</v>
      </c>
      <c r="E42" s="18">
        <v>961.3</v>
      </c>
      <c r="F42" s="17">
        <v>4</v>
      </c>
      <c r="G42" s="17">
        <v>24</v>
      </c>
    </row>
    <row r="43" spans="1:7" ht="15" customHeight="1" x14ac:dyDescent="0.3">
      <c r="A43" s="16" t="s">
        <v>116</v>
      </c>
      <c r="B43" s="16" t="s">
        <v>71</v>
      </c>
      <c r="C43" s="16" t="s">
        <v>84</v>
      </c>
      <c r="D43" s="18">
        <v>5808</v>
      </c>
      <c r="E43" s="18">
        <v>178.2</v>
      </c>
      <c r="F43" s="17">
        <v>1</v>
      </c>
      <c r="G43" s="17">
        <v>5</v>
      </c>
    </row>
    <row r="44" spans="1:7" ht="15" customHeight="1" x14ac:dyDescent="0.3">
      <c r="A44" s="16" t="s">
        <v>116</v>
      </c>
      <c r="B44" s="16" t="s">
        <v>73</v>
      </c>
      <c r="C44" s="16" t="s">
        <v>89</v>
      </c>
      <c r="D44" s="18">
        <v>8448</v>
      </c>
      <c r="E44" s="18">
        <v>237.3</v>
      </c>
      <c r="F44" s="17">
        <v>1</v>
      </c>
      <c r="G44" s="17">
        <v>6</v>
      </c>
    </row>
    <row r="45" spans="1:7" ht="15" customHeight="1" x14ac:dyDescent="0.3">
      <c r="A45" s="16" t="s">
        <v>116</v>
      </c>
      <c r="B45" s="16" t="s">
        <v>77</v>
      </c>
      <c r="C45" s="16" t="s">
        <v>97</v>
      </c>
      <c r="D45" s="18">
        <v>86208</v>
      </c>
      <c r="E45" s="18">
        <v>3369.2</v>
      </c>
      <c r="F45" s="17">
        <v>11</v>
      </c>
      <c r="G45" s="17">
        <v>83</v>
      </c>
    </row>
    <row r="46" spans="1:7" ht="15" customHeight="1" x14ac:dyDescent="0.3">
      <c r="A46" s="16" t="s">
        <v>117</v>
      </c>
      <c r="B46" s="16" t="s">
        <v>57</v>
      </c>
      <c r="C46" s="16" t="s">
        <v>84</v>
      </c>
      <c r="D46" s="18">
        <v>33600</v>
      </c>
      <c r="E46" s="18">
        <v>1148.5999999999999</v>
      </c>
      <c r="F46" s="17">
        <v>6</v>
      </c>
      <c r="G46" s="17">
        <v>46</v>
      </c>
    </row>
    <row r="47" spans="1:7" ht="15" customHeight="1" x14ac:dyDescent="0.3">
      <c r="A47" s="16" t="s">
        <v>117</v>
      </c>
      <c r="B47" s="16" t="s">
        <v>57</v>
      </c>
      <c r="C47" s="16" t="s">
        <v>86</v>
      </c>
      <c r="D47" s="18">
        <v>5280</v>
      </c>
      <c r="E47" s="18">
        <v>204.7</v>
      </c>
      <c r="F47" s="17">
        <v>1</v>
      </c>
      <c r="G47" s="17">
        <v>6</v>
      </c>
    </row>
    <row r="48" spans="1:7" ht="15" customHeight="1" x14ac:dyDescent="0.3">
      <c r="A48" s="16" t="s">
        <v>117</v>
      </c>
      <c r="B48" s="16" t="s">
        <v>65</v>
      </c>
      <c r="C48" s="16" t="s">
        <v>86</v>
      </c>
      <c r="D48" s="18">
        <v>7744</v>
      </c>
      <c r="E48" s="18">
        <v>305.10000000000002</v>
      </c>
      <c r="F48" s="17">
        <v>1</v>
      </c>
      <c r="G48" s="17">
        <v>7</v>
      </c>
    </row>
    <row r="49" spans="1:7" ht="15" customHeight="1" x14ac:dyDescent="0.3">
      <c r="A49" s="16" t="s">
        <v>117</v>
      </c>
      <c r="B49" s="16" t="s">
        <v>69</v>
      </c>
      <c r="C49" s="16" t="s">
        <v>84</v>
      </c>
      <c r="D49" s="18">
        <v>40512</v>
      </c>
      <c r="E49" s="18">
        <v>925.2</v>
      </c>
      <c r="F49" s="17">
        <v>4</v>
      </c>
      <c r="G49" s="17">
        <v>19</v>
      </c>
    </row>
    <row r="50" spans="1:7" ht="15" customHeight="1" x14ac:dyDescent="0.3">
      <c r="A50" s="16" t="s">
        <v>117</v>
      </c>
      <c r="B50" s="16" t="s">
        <v>71</v>
      </c>
      <c r="C50" s="16" t="s">
        <v>84</v>
      </c>
      <c r="D50" s="18">
        <v>14592</v>
      </c>
      <c r="E50" s="18">
        <v>354.4</v>
      </c>
      <c r="F50" s="17">
        <v>2</v>
      </c>
      <c r="G50" s="17">
        <v>10</v>
      </c>
    </row>
    <row r="51" spans="1:7" ht="15" customHeight="1" x14ac:dyDescent="0.3">
      <c r="A51" s="16" t="s">
        <v>117</v>
      </c>
      <c r="B51" s="16" t="s">
        <v>73</v>
      </c>
      <c r="C51" s="16" t="s">
        <v>89</v>
      </c>
      <c r="D51" s="18">
        <v>24960</v>
      </c>
      <c r="E51" s="18">
        <v>695.9</v>
      </c>
      <c r="F51" s="17">
        <v>2</v>
      </c>
      <c r="G51" s="17">
        <v>13</v>
      </c>
    </row>
    <row r="52" spans="1:7" ht="15" customHeight="1" x14ac:dyDescent="0.3">
      <c r="A52" s="16" t="s">
        <v>117</v>
      </c>
      <c r="B52" s="16" t="s">
        <v>77</v>
      </c>
      <c r="C52" s="16" t="s">
        <v>97</v>
      </c>
      <c r="D52" s="18">
        <v>4048</v>
      </c>
      <c r="E52" s="18">
        <v>117.3</v>
      </c>
      <c r="F52" s="17">
        <v>0</v>
      </c>
      <c r="G52" s="17">
        <v>0</v>
      </c>
    </row>
    <row r="53" spans="1:7" ht="15" customHeight="1" x14ac:dyDescent="0.3">
      <c r="A53" s="16" t="s">
        <v>118</v>
      </c>
      <c r="B53" s="16" t="s">
        <v>57</v>
      </c>
      <c r="C53" s="16" t="s">
        <v>84</v>
      </c>
      <c r="D53" s="18">
        <v>6160</v>
      </c>
      <c r="E53" s="18">
        <v>158.9</v>
      </c>
      <c r="F53" s="17">
        <v>1</v>
      </c>
      <c r="G53" s="17">
        <v>4</v>
      </c>
    </row>
    <row r="54" spans="1:7" ht="15" customHeight="1" x14ac:dyDescent="0.3">
      <c r="A54" s="16" t="s">
        <v>118</v>
      </c>
      <c r="B54" s="16" t="s">
        <v>57</v>
      </c>
      <c r="C54" s="16" t="s">
        <v>86</v>
      </c>
      <c r="D54" s="18">
        <v>30336</v>
      </c>
      <c r="E54" s="18">
        <v>1026.8</v>
      </c>
      <c r="F54" s="17">
        <v>4</v>
      </c>
      <c r="G54" s="17">
        <v>14</v>
      </c>
    </row>
    <row r="55" spans="1:7" ht="15" customHeight="1" x14ac:dyDescent="0.3">
      <c r="A55" s="16" t="s">
        <v>118</v>
      </c>
      <c r="B55" s="16" t="s">
        <v>65</v>
      </c>
      <c r="C55" s="16" t="s">
        <v>86</v>
      </c>
      <c r="D55" s="18">
        <v>11520</v>
      </c>
      <c r="E55" s="18">
        <v>374.3</v>
      </c>
      <c r="F55" s="17">
        <v>1</v>
      </c>
      <c r="G55" s="17">
        <v>4</v>
      </c>
    </row>
    <row r="56" spans="1:7" ht="15" customHeight="1" x14ac:dyDescent="0.3">
      <c r="A56" s="16" t="s">
        <v>118</v>
      </c>
      <c r="B56" s="16" t="s">
        <v>69</v>
      </c>
      <c r="C56" s="16" t="s">
        <v>84</v>
      </c>
      <c r="D56" s="18">
        <v>19392</v>
      </c>
      <c r="E56" s="18">
        <v>585.70000000000005</v>
      </c>
      <c r="F56" s="17">
        <v>3</v>
      </c>
      <c r="G56" s="17">
        <v>15</v>
      </c>
    </row>
    <row r="57" spans="1:7" ht="15" customHeight="1" x14ac:dyDescent="0.3">
      <c r="A57" s="16" t="s">
        <v>118</v>
      </c>
      <c r="B57" s="16" t="s">
        <v>71</v>
      </c>
      <c r="C57" s="16" t="s">
        <v>84</v>
      </c>
      <c r="D57" s="18">
        <v>3168</v>
      </c>
      <c r="E57" s="18">
        <v>102.4</v>
      </c>
      <c r="F57" s="17">
        <v>0</v>
      </c>
      <c r="G57" s="17">
        <v>0</v>
      </c>
    </row>
    <row r="58" spans="1:7" ht="15" customHeight="1" x14ac:dyDescent="0.3">
      <c r="A58" s="16" t="s">
        <v>118</v>
      </c>
      <c r="B58" s="16" t="s">
        <v>73</v>
      </c>
      <c r="C58" s="16" t="s">
        <v>89</v>
      </c>
      <c r="D58" s="18">
        <v>4576</v>
      </c>
      <c r="E58" s="18">
        <v>147.19999999999999</v>
      </c>
      <c r="F58" s="17">
        <v>1</v>
      </c>
      <c r="G58" s="17">
        <v>4</v>
      </c>
    </row>
    <row r="59" spans="1:7" ht="15" customHeight="1" x14ac:dyDescent="0.3">
      <c r="A59" s="16" t="s">
        <v>118</v>
      </c>
      <c r="B59" s="16" t="s">
        <v>77</v>
      </c>
      <c r="C59" s="16" t="s">
        <v>97</v>
      </c>
      <c r="D59" s="18">
        <v>44736</v>
      </c>
      <c r="E59" s="18">
        <v>1412.3</v>
      </c>
      <c r="F59" s="17">
        <v>6</v>
      </c>
      <c r="G59" s="17">
        <v>20</v>
      </c>
    </row>
    <row r="60" spans="1:7" ht="15" customHeight="1" x14ac:dyDescent="0.3">
      <c r="A60" s="16" t="s">
        <v>119</v>
      </c>
      <c r="B60" s="16" t="s">
        <v>57</v>
      </c>
      <c r="C60" s="16" t="s">
        <v>84</v>
      </c>
      <c r="D60" s="18">
        <v>16320</v>
      </c>
      <c r="E60" s="18">
        <v>440.9</v>
      </c>
      <c r="F60" s="17">
        <v>2</v>
      </c>
      <c r="G60" s="17">
        <v>8</v>
      </c>
    </row>
    <row r="61" spans="1:7" ht="15" customHeight="1" x14ac:dyDescent="0.3">
      <c r="A61" s="16" t="s">
        <v>119</v>
      </c>
      <c r="B61" s="16" t="s">
        <v>57</v>
      </c>
      <c r="C61" s="16" t="s">
        <v>86</v>
      </c>
      <c r="D61" s="18">
        <v>29568</v>
      </c>
      <c r="E61" s="18">
        <v>815.1</v>
      </c>
      <c r="F61" s="17">
        <v>3</v>
      </c>
      <c r="G61" s="17">
        <v>21</v>
      </c>
    </row>
    <row r="62" spans="1:7" ht="15" customHeight="1" x14ac:dyDescent="0.3">
      <c r="A62" s="16" t="s">
        <v>119</v>
      </c>
      <c r="B62" s="16" t="s">
        <v>65</v>
      </c>
      <c r="C62" s="16" t="s">
        <v>86</v>
      </c>
      <c r="D62" s="18">
        <v>4400</v>
      </c>
      <c r="E62" s="18">
        <v>121.3</v>
      </c>
      <c r="F62" s="17">
        <v>1</v>
      </c>
      <c r="G62" s="17">
        <v>6</v>
      </c>
    </row>
    <row r="63" spans="1:7" ht="15" customHeight="1" x14ac:dyDescent="0.3">
      <c r="A63" s="16" t="s">
        <v>119</v>
      </c>
      <c r="B63" s="16" t="s">
        <v>69</v>
      </c>
      <c r="C63" s="16" t="s">
        <v>84</v>
      </c>
      <c r="D63" s="18">
        <v>6512</v>
      </c>
      <c r="E63" s="18">
        <v>170.7</v>
      </c>
      <c r="F63" s="17">
        <v>1</v>
      </c>
      <c r="G63" s="17">
        <v>6</v>
      </c>
    </row>
    <row r="64" spans="1:7" ht="15" customHeight="1" x14ac:dyDescent="0.3">
      <c r="A64" s="16" t="s">
        <v>119</v>
      </c>
      <c r="B64" s="16" t="s">
        <v>71</v>
      </c>
      <c r="C64" s="16" t="s">
        <v>84</v>
      </c>
      <c r="D64" s="18">
        <v>13824</v>
      </c>
      <c r="E64" s="18">
        <v>407.7</v>
      </c>
      <c r="F64" s="17">
        <v>2</v>
      </c>
      <c r="G64" s="17">
        <v>15</v>
      </c>
    </row>
    <row r="65" spans="1:7" ht="15" customHeight="1" x14ac:dyDescent="0.3">
      <c r="A65" s="16" t="s">
        <v>119</v>
      </c>
      <c r="B65" s="16" t="s">
        <v>73</v>
      </c>
      <c r="C65" s="16" t="s">
        <v>89</v>
      </c>
      <c r="D65" s="18">
        <v>31872</v>
      </c>
      <c r="E65" s="18">
        <v>947.6</v>
      </c>
      <c r="F65" s="17">
        <v>4</v>
      </c>
      <c r="G65" s="17">
        <v>18</v>
      </c>
    </row>
    <row r="66" spans="1:7" ht="15" customHeight="1" x14ac:dyDescent="0.3">
      <c r="A66" s="16" t="s">
        <v>119</v>
      </c>
      <c r="B66" s="16" t="s">
        <v>77</v>
      </c>
      <c r="C66" s="16" t="s">
        <v>97</v>
      </c>
      <c r="D66" s="18">
        <v>4928</v>
      </c>
      <c r="E66" s="18">
        <v>166.5</v>
      </c>
      <c r="F66" s="17">
        <v>1</v>
      </c>
      <c r="G66" s="17">
        <v>4</v>
      </c>
    </row>
    <row r="67" spans="1:7" ht="15" customHeight="1" x14ac:dyDescent="0.3">
      <c r="A67" s="16" t="s">
        <v>120</v>
      </c>
      <c r="B67" s="16" t="s">
        <v>57</v>
      </c>
      <c r="C67" s="16" t="s">
        <v>84</v>
      </c>
      <c r="D67" s="18">
        <v>7392</v>
      </c>
      <c r="E67" s="18">
        <v>253.4</v>
      </c>
      <c r="F67" s="17">
        <v>1</v>
      </c>
      <c r="G67" s="17">
        <v>3</v>
      </c>
    </row>
    <row r="68" spans="1:7" ht="15" customHeight="1" x14ac:dyDescent="0.3">
      <c r="A68" s="16" t="s">
        <v>120</v>
      </c>
      <c r="B68" s="16" t="s">
        <v>57</v>
      </c>
      <c r="C68" s="16" t="s">
        <v>86</v>
      </c>
      <c r="D68" s="18">
        <v>2112</v>
      </c>
      <c r="E68" s="18">
        <v>41.5</v>
      </c>
      <c r="F68" s="17">
        <v>0</v>
      </c>
      <c r="G68" s="17">
        <v>0</v>
      </c>
    </row>
    <row r="69" spans="1:7" ht="15" customHeight="1" x14ac:dyDescent="0.3">
      <c r="A69" s="16" t="s">
        <v>120</v>
      </c>
      <c r="B69" s="16" t="s">
        <v>65</v>
      </c>
      <c r="C69" s="16" t="s">
        <v>86</v>
      </c>
      <c r="D69" s="18">
        <v>17072</v>
      </c>
      <c r="E69" s="18">
        <v>343.7</v>
      </c>
      <c r="F69" s="17">
        <v>1</v>
      </c>
      <c r="G69" s="17">
        <v>4</v>
      </c>
    </row>
    <row r="70" spans="1:7" ht="15" customHeight="1" x14ac:dyDescent="0.3">
      <c r="A70" s="16" t="s">
        <v>120</v>
      </c>
      <c r="B70" s="16" t="s">
        <v>69</v>
      </c>
      <c r="C70" s="16" t="s">
        <v>84</v>
      </c>
      <c r="D70" s="18">
        <v>49920</v>
      </c>
      <c r="E70" s="18">
        <v>2401.5</v>
      </c>
      <c r="F70" s="17">
        <v>7</v>
      </c>
      <c r="G70" s="17">
        <v>51</v>
      </c>
    </row>
    <row r="71" spans="1:7" ht="15" customHeight="1" x14ac:dyDescent="0.3">
      <c r="A71" s="16" t="s">
        <v>120</v>
      </c>
      <c r="B71" s="16" t="s">
        <v>71</v>
      </c>
      <c r="C71" s="16" t="s">
        <v>84</v>
      </c>
      <c r="D71" s="18">
        <v>18048</v>
      </c>
      <c r="E71" s="18">
        <v>870</v>
      </c>
      <c r="F71" s="17">
        <v>3</v>
      </c>
      <c r="G71" s="17">
        <v>12</v>
      </c>
    </row>
    <row r="72" spans="1:7" ht="15" customHeight="1" x14ac:dyDescent="0.3">
      <c r="A72" s="16" t="s">
        <v>120</v>
      </c>
      <c r="B72" s="16" t="s">
        <v>73</v>
      </c>
      <c r="C72" s="16" t="s">
        <v>89</v>
      </c>
      <c r="D72" s="18">
        <v>32064</v>
      </c>
      <c r="E72" s="18">
        <v>1346.8</v>
      </c>
      <c r="F72" s="17">
        <v>6</v>
      </c>
      <c r="G72" s="17">
        <v>24</v>
      </c>
    </row>
    <row r="73" spans="1:7" ht="15" customHeight="1" x14ac:dyDescent="0.3">
      <c r="A73" s="16" t="s">
        <v>120</v>
      </c>
      <c r="B73" s="16" t="s">
        <v>77</v>
      </c>
      <c r="C73" s="16" t="s">
        <v>97</v>
      </c>
      <c r="D73" s="18">
        <v>5104</v>
      </c>
      <c r="E73" s="18">
        <v>220.7</v>
      </c>
      <c r="F73" s="17">
        <v>1</v>
      </c>
      <c r="G73" s="17">
        <v>5</v>
      </c>
    </row>
    <row r="74" spans="1:7" ht="15" customHeight="1" x14ac:dyDescent="0.3">
      <c r="A74" s="16" t="s">
        <v>121</v>
      </c>
      <c r="B74" s="16" t="s">
        <v>57</v>
      </c>
      <c r="C74" s="16" t="s">
        <v>84</v>
      </c>
      <c r="D74" s="18">
        <v>7568</v>
      </c>
      <c r="E74" s="18">
        <v>348.6</v>
      </c>
      <c r="F74" s="17">
        <v>1</v>
      </c>
      <c r="G74" s="17">
        <v>7</v>
      </c>
    </row>
    <row r="75" spans="1:7" ht="15" customHeight="1" x14ac:dyDescent="0.3">
      <c r="A75" s="16" t="s">
        <v>121</v>
      </c>
      <c r="B75" s="16" t="s">
        <v>57</v>
      </c>
      <c r="C75" s="16" t="s">
        <v>86</v>
      </c>
      <c r="D75" s="18">
        <v>92160</v>
      </c>
      <c r="E75" s="18">
        <v>2727.3</v>
      </c>
      <c r="F75" s="17">
        <v>13</v>
      </c>
      <c r="G75" s="17">
        <v>73</v>
      </c>
    </row>
    <row r="76" spans="1:7" ht="15" customHeight="1" x14ac:dyDescent="0.3">
      <c r="A76" s="16" t="s">
        <v>121</v>
      </c>
      <c r="B76" s="16" t="s">
        <v>65</v>
      </c>
      <c r="C76" s="16" t="s">
        <v>86</v>
      </c>
      <c r="D76" s="18">
        <v>38208</v>
      </c>
      <c r="E76" s="18">
        <v>1191.5</v>
      </c>
      <c r="F76" s="17">
        <v>4</v>
      </c>
      <c r="G76" s="17">
        <v>31</v>
      </c>
    </row>
    <row r="77" spans="1:7" ht="15" customHeight="1" x14ac:dyDescent="0.3">
      <c r="A77" s="16" t="s">
        <v>121</v>
      </c>
      <c r="B77" s="16" t="s">
        <v>69</v>
      </c>
      <c r="C77" s="16" t="s">
        <v>84</v>
      </c>
      <c r="D77" s="18">
        <v>5632</v>
      </c>
      <c r="E77" s="18">
        <v>159.1</v>
      </c>
      <c r="F77" s="17">
        <v>1</v>
      </c>
      <c r="G77" s="17">
        <v>6</v>
      </c>
    </row>
    <row r="78" spans="1:7" ht="15" customHeight="1" x14ac:dyDescent="0.3">
      <c r="A78" s="16" t="s">
        <v>121</v>
      </c>
      <c r="B78" s="16" t="s">
        <v>71</v>
      </c>
      <c r="C78" s="16" t="s">
        <v>84</v>
      </c>
      <c r="D78" s="18">
        <v>8624</v>
      </c>
      <c r="E78" s="18">
        <v>248.2</v>
      </c>
      <c r="F78" s="17">
        <v>1</v>
      </c>
      <c r="G78" s="17">
        <v>4</v>
      </c>
    </row>
    <row r="79" spans="1:7" ht="15" customHeight="1" x14ac:dyDescent="0.3">
      <c r="A79" s="16" t="s">
        <v>121</v>
      </c>
      <c r="B79" s="16" t="s">
        <v>73</v>
      </c>
      <c r="C79" s="16" t="s">
        <v>89</v>
      </c>
      <c r="D79" s="18">
        <v>86784</v>
      </c>
      <c r="E79" s="18">
        <v>3193.9</v>
      </c>
      <c r="F79" s="17">
        <v>10</v>
      </c>
      <c r="G79" s="17">
        <v>37</v>
      </c>
    </row>
    <row r="80" spans="1:7" ht="15" customHeight="1" x14ac:dyDescent="0.3">
      <c r="A80" s="16" t="s">
        <v>121</v>
      </c>
      <c r="B80" s="16" t="s">
        <v>77</v>
      </c>
      <c r="C80" s="16" t="s">
        <v>97</v>
      </c>
      <c r="D80" s="18">
        <v>33408</v>
      </c>
      <c r="E80" s="18">
        <v>1209.4000000000001</v>
      </c>
      <c r="F80" s="17">
        <v>5</v>
      </c>
      <c r="G80" s="17">
        <v>27</v>
      </c>
    </row>
    <row r="81" spans="1:7" ht="15" customHeight="1" x14ac:dyDescent="0.3">
      <c r="A81" s="16" t="s">
        <v>204</v>
      </c>
      <c r="B81" s="16" t="s">
        <v>57</v>
      </c>
      <c r="C81" s="16" t="s">
        <v>84</v>
      </c>
      <c r="D81" s="18">
        <v>5104</v>
      </c>
      <c r="E81" s="18">
        <v>178.2</v>
      </c>
      <c r="F81" s="17">
        <v>1</v>
      </c>
      <c r="G81" s="17">
        <v>4</v>
      </c>
    </row>
    <row r="82" spans="1:7" ht="15" customHeight="1" x14ac:dyDescent="0.3">
      <c r="A82" s="16" t="s">
        <v>204</v>
      </c>
      <c r="B82" s="16" t="s">
        <v>57</v>
      </c>
      <c r="C82" s="16" t="s">
        <v>86</v>
      </c>
      <c r="D82" s="18">
        <v>7744</v>
      </c>
      <c r="E82" s="18">
        <v>299.89999999999998</v>
      </c>
      <c r="F82" s="17">
        <v>1</v>
      </c>
      <c r="G82" s="17">
        <v>5</v>
      </c>
    </row>
    <row r="83" spans="1:7" ht="15" customHeight="1" x14ac:dyDescent="0.3">
      <c r="A83" s="16" t="s">
        <v>204</v>
      </c>
      <c r="B83" s="16" t="s">
        <v>65</v>
      </c>
      <c r="C83" s="16" t="s">
        <v>86</v>
      </c>
      <c r="D83" s="18">
        <v>40128</v>
      </c>
      <c r="E83" s="18">
        <v>1222.8</v>
      </c>
      <c r="F83" s="17">
        <v>4</v>
      </c>
      <c r="G83" s="17">
        <v>21</v>
      </c>
    </row>
    <row r="84" spans="1:7" ht="15" customHeight="1" x14ac:dyDescent="0.3">
      <c r="A84" s="16" t="s">
        <v>204</v>
      </c>
      <c r="B84" s="16" t="s">
        <v>69</v>
      </c>
      <c r="C84" s="16" t="s">
        <v>84</v>
      </c>
      <c r="D84" s="18">
        <v>14592</v>
      </c>
      <c r="E84" s="18">
        <v>349.5</v>
      </c>
      <c r="F84" s="17">
        <v>2</v>
      </c>
      <c r="G84" s="17">
        <v>7</v>
      </c>
    </row>
    <row r="85" spans="1:7" ht="15" customHeight="1" x14ac:dyDescent="0.3">
      <c r="A85" s="16" t="s">
        <v>204</v>
      </c>
      <c r="B85" s="16" t="s">
        <v>71</v>
      </c>
      <c r="C85" s="16" t="s">
        <v>84</v>
      </c>
      <c r="D85" s="18">
        <v>26112</v>
      </c>
      <c r="E85" s="18">
        <v>759.9</v>
      </c>
      <c r="F85" s="17">
        <v>3</v>
      </c>
      <c r="G85" s="17">
        <v>13</v>
      </c>
    </row>
    <row r="86" spans="1:7" ht="15" customHeight="1" x14ac:dyDescent="0.3">
      <c r="A86" s="16" t="s">
        <v>204</v>
      </c>
      <c r="B86" s="16" t="s">
        <v>73</v>
      </c>
      <c r="C86" s="16" t="s">
        <v>89</v>
      </c>
      <c r="D86" s="18">
        <v>4048</v>
      </c>
      <c r="E86" s="18">
        <v>115.5</v>
      </c>
      <c r="F86" s="17">
        <v>0</v>
      </c>
      <c r="G86" s="17">
        <v>0</v>
      </c>
    </row>
    <row r="87" spans="1:7" ht="15" customHeight="1" x14ac:dyDescent="0.3">
      <c r="A87" s="16" t="s">
        <v>204</v>
      </c>
      <c r="B87" s="16" t="s">
        <v>77</v>
      </c>
      <c r="C87" s="16" t="s">
        <v>97</v>
      </c>
      <c r="D87" s="18">
        <v>5808</v>
      </c>
      <c r="E87" s="18">
        <v>172.5</v>
      </c>
      <c r="F87" s="17">
        <v>1</v>
      </c>
      <c r="G87" s="17">
        <v>4</v>
      </c>
    </row>
  </sheetData>
  <autoFilter ref="A1:G1" xr:uid="{00000000-0009-0000-0000-000005000000}"/>
  <dataValidations count="2">
    <dataValidation type="textLength" operator="equal" allowBlank="1" showErrorMessage="1" errorTitle="Periodo mal escrito" error="El periodo se escribe AAAA-MM, por ejemplo 2026-08." promptTitle="Periodo" prompt="AAAA-MM (ejemplo: 2026-08)" sqref="A2:A1086" xr:uid="{00000000-0002-0000-05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D2:G1086" xr:uid="{00000000-0002-0000-05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Clave inexistente" error="Esa clave no existe en la hoja dim_unidad. Agrégala primero al catálogo." xr:uid="{00000000-0002-0000-0500-000002000000}">
          <x14:formula1>
            <xm:f>dim_unidad!$A$2:$A$5000</xm:f>
          </x14:formula1>
          <x14:formula2>
            <xm:f>0</xm:f>
          </x14:formula2>
          <xm:sqref>B2:B1086</xm:sqref>
        </x14:dataValidation>
        <x14:dataValidation type="list" allowBlank="1" showErrorMessage="1" errorTitle="Clave inexistente" error="Esa clave no existe en la hoja dim_area. Agrégala primero al catálogo." xr:uid="{00000000-0002-0000-0500-000003000000}">
          <x14:formula1>
            <xm:f>dim_area!$A$2:$A$5000</xm:f>
          </x14:formula1>
          <x14:formula2>
            <xm:f>0</xm:f>
          </x14:formula2>
          <xm:sqref>C2:C1086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J87"/>
  <sheetViews>
    <sheetView tabSelected="1" topLeftCell="D1" zoomScaleNormal="100" workbookViewId="0">
      <pane ySplit="1" topLeftCell="A7" activePane="bottomLeft" state="frozen"/>
      <selection pane="bottomLeft" activeCell="A87" sqref="A87"/>
    </sheetView>
  </sheetViews>
  <sheetFormatPr baseColWidth="10" defaultColWidth="8.6640625" defaultRowHeight="14.4" x14ac:dyDescent="0.3"/>
  <cols>
    <col min="1" max="1" width="11" customWidth="1"/>
    <col min="2" max="3" width="26" customWidth="1"/>
    <col min="4" max="10" width="15" customWidth="1"/>
  </cols>
  <sheetData>
    <row r="1" spans="1:10" ht="30" customHeight="1" x14ac:dyDescent="0.3">
      <c r="A1" s="15" t="s">
        <v>100</v>
      </c>
      <c r="B1" s="15" t="s">
        <v>51</v>
      </c>
      <c r="C1" s="15" t="s">
        <v>80</v>
      </c>
      <c r="D1" s="15" t="s">
        <v>132</v>
      </c>
      <c r="E1" s="15" t="s">
        <v>133</v>
      </c>
      <c r="F1" s="15" t="s">
        <v>134</v>
      </c>
      <c r="G1" s="15" t="s">
        <v>135</v>
      </c>
      <c r="H1" s="15" t="s">
        <v>136</v>
      </c>
      <c r="I1" s="15" t="s">
        <v>137</v>
      </c>
      <c r="J1" s="15" t="s">
        <v>138</v>
      </c>
    </row>
    <row r="2" spans="1:10" ht="15" hidden="1" customHeight="1" x14ac:dyDescent="0.3">
      <c r="A2" s="16" t="s">
        <v>110</v>
      </c>
      <c r="B2" s="16" t="s">
        <v>57</v>
      </c>
      <c r="C2" s="16" t="s">
        <v>84</v>
      </c>
      <c r="D2" s="17"/>
      <c r="E2" s="17"/>
      <c r="F2" s="17"/>
      <c r="G2" s="18"/>
      <c r="H2" s="18"/>
      <c r="I2" s="17">
        <v>5628772.2353977002</v>
      </c>
      <c r="J2" s="18"/>
    </row>
    <row r="3" spans="1:10" ht="15" hidden="1" customHeight="1" x14ac:dyDescent="0.3">
      <c r="A3" s="16" t="s">
        <v>110</v>
      </c>
      <c r="B3" s="16" t="s">
        <v>57</v>
      </c>
      <c r="C3" s="16" t="s">
        <v>86</v>
      </c>
      <c r="D3" s="17"/>
      <c r="E3" s="17"/>
      <c r="F3" s="17"/>
      <c r="G3" s="18"/>
      <c r="H3" s="18"/>
      <c r="I3" s="17">
        <v>1152797.6870704477</v>
      </c>
      <c r="J3" s="18"/>
    </row>
    <row r="4" spans="1:10" ht="15" hidden="1" customHeight="1" x14ac:dyDescent="0.3">
      <c r="A4" s="16" t="s">
        <v>110</v>
      </c>
      <c r="B4" s="16" t="s">
        <v>65</v>
      </c>
      <c r="C4" s="16" t="s">
        <v>86</v>
      </c>
      <c r="D4" s="17"/>
      <c r="E4" s="17"/>
      <c r="F4" s="17"/>
      <c r="G4" s="18"/>
      <c r="H4" s="18"/>
      <c r="I4" s="17">
        <v>1325817.5739210001</v>
      </c>
      <c r="J4" s="18"/>
    </row>
    <row r="5" spans="1:10" ht="15" hidden="1" customHeight="1" x14ac:dyDescent="0.3">
      <c r="A5" s="16" t="s">
        <v>110</v>
      </c>
      <c r="B5" s="16" t="s">
        <v>69</v>
      </c>
      <c r="C5" s="16" t="s">
        <v>84</v>
      </c>
      <c r="D5" s="17"/>
      <c r="E5" s="17"/>
      <c r="F5" s="17"/>
      <c r="G5" s="18"/>
      <c r="H5" s="18"/>
      <c r="I5" s="17"/>
      <c r="J5" s="18"/>
    </row>
    <row r="6" spans="1:10" ht="15" hidden="1" customHeight="1" x14ac:dyDescent="0.3">
      <c r="A6" s="16" t="s">
        <v>110</v>
      </c>
      <c r="B6" s="16" t="s">
        <v>73</v>
      </c>
      <c r="C6" s="16" t="s">
        <v>89</v>
      </c>
      <c r="D6" s="17"/>
      <c r="E6" s="17"/>
      <c r="F6" s="17"/>
      <c r="G6" s="18"/>
      <c r="H6" s="18"/>
      <c r="I6" s="17"/>
      <c r="J6" s="18"/>
    </row>
    <row r="7" spans="1:10" ht="15" customHeight="1" x14ac:dyDescent="0.3">
      <c r="A7" s="16" t="s">
        <v>110</v>
      </c>
      <c r="B7" s="16" t="s">
        <v>77</v>
      </c>
      <c r="C7" s="16" t="s">
        <v>97</v>
      </c>
      <c r="D7" s="17"/>
      <c r="E7" s="17"/>
      <c r="F7" s="17"/>
      <c r="G7" s="18"/>
      <c r="H7" s="18"/>
      <c r="I7" s="17">
        <v>4807500.5852187499</v>
      </c>
      <c r="J7" s="18"/>
    </row>
    <row r="8" spans="1:10" ht="15" hidden="1" customHeight="1" x14ac:dyDescent="0.3">
      <c r="A8" s="16" t="s">
        <v>111</v>
      </c>
      <c r="B8" s="16" t="s">
        <v>57</v>
      </c>
      <c r="C8" s="16" t="s">
        <v>84</v>
      </c>
      <c r="D8" s="17"/>
      <c r="E8" s="17"/>
      <c r="F8" s="17"/>
      <c r="G8" s="18"/>
      <c r="H8" s="18"/>
      <c r="I8" s="17">
        <v>5628772.2353977002</v>
      </c>
      <c r="J8" s="18"/>
    </row>
    <row r="9" spans="1:10" ht="15" hidden="1" customHeight="1" x14ac:dyDescent="0.3">
      <c r="A9" s="16" t="s">
        <v>111</v>
      </c>
      <c r="B9" s="16" t="s">
        <v>57</v>
      </c>
      <c r="C9" s="16" t="s">
        <v>86</v>
      </c>
      <c r="D9" s="17"/>
      <c r="E9" s="17"/>
      <c r="F9" s="17"/>
      <c r="G9" s="18"/>
      <c r="H9" s="18"/>
      <c r="I9" s="17">
        <v>1152797.6870704477</v>
      </c>
      <c r="J9" s="18"/>
    </row>
    <row r="10" spans="1:10" ht="15" hidden="1" customHeight="1" x14ac:dyDescent="0.3">
      <c r="A10" s="16" t="s">
        <v>111</v>
      </c>
      <c r="B10" s="16" t="s">
        <v>65</v>
      </c>
      <c r="C10" s="16" t="s">
        <v>86</v>
      </c>
      <c r="D10" s="17"/>
      <c r="E10" s="17"/>
      <c r="F10" s="17"/>
      <c r="G10" s="18"/>
      <c r="H10" s="18"/>
      <c r="I10" s="17">
        <v>1325817.5739210001</v>
      </c>
      <c r="J10" s="18"/>
    </row>
    <row r="11" spans="1:10" ht="15" hidden="1" customHeight="1" x14ac:dyDescent="0.3">
      <c r="A11" s="16" t="s">
        <v>111</v>
      </c>
      <c r="B11" s="16" t="s">
        <v>69</v>
      </c>
      <c r="C11" s="16" t="s">
        <v>84</v>
      </c>
      <c r="D11" s="17"/>
      <c r="E11" s="17"/>
      <c r="F11" s="17"/>
      <c r="G11" s="18"/>
      <c r="H11" s="18"/>
      <c r="I11" s="17"/>
      <c r="J11" s="18"/>
    </row>
    <row r="12" spans="1:10" ht="15" hidden="1" customHeight="1" x14ac:dyDescent="0.3">
      <c r="A12" s="16" t="s">
        <v>111</v>
      </c>
      <c r="B12" s="16" t="s">
        <v>73</v>
      </c>
      <c r="C12" s="16" t="s">
        <v>89</v>
      </c>
      <c r="D12" s="17"/>
      <c r="E12" s="17"/>
      <c r="F12" s="17"/>
      <c r="G12" s="18"/>
      <c r="H12" s="18"/>
      <c r="I12" s="17"/>
      <c r="J12" s="18"/>
    </row>
    <row r="13" spans="1:10" ht="15" customHeight="1" x14ac:dyDescent="0.3">
      <c r="A13" s="16" t="s">
        <v>111</v>
      </c>
      <c r="B13" s="16" t="s">
        <v>77</v>
      </c>
      <c r="C13" s="16" t="s">
        <v>97</v>
      </c>
      <c r="D13" s="17"/>
      <c r="E13" s="17"/>
      <c r="F13" s="17"/>
      <c r="G13" s="18"/>
      <c r="H13" s="18"/>
      <c r="I13" s="17">
        <v>4807500.5852187499</v>
      </c>
      <c r="J13" s="18"/>
    </row>
    <row r="14" spans="1:10" ht="15" hidden="1" customHeight="1" x14ac:dyDescent="0.3">
      <c r="A14" s="16" t="s">
        <v>112</v>
      </c>
      <c r="B14" s="16" t="s">
        <v>57</v>
      </c>
      <c r="C14" s="16" t="s">
        <v>84</v>
      </c>
      <c r="D14" s="17"/>
      <c r="E14" s="17"/>
      <c r="F14" s="17"/>
      <c r="G14" s="18"/>
      <c r="H14" s="18"/>
      <c r="I14" s="17">
        <v>5628772.2353977002</v>
      </c>
      <c r="J14" s="18"/>
    </row>
    <row r="15" spans="1:10" ht="15" hidden="1" customHeight="1" x14ac:dyDescent="0.3">
      <c r="A15" s="16" t="s">
        <v>112</v>
      </c>
      <c r="B15" s="16" t="s">
        <v>57</v>
      </c>
      <c r="C15" s="16" t="s">
        <v>86</v>
      </c>
      <c r="D15" s="17"/>
      <c r="E15" s="17"/>
      <c r="F15" s="17"/>
      <c r="G15" s="18"/>
      <c r="H15" s="18"/>
      <c r="I15" s="17">
        <v>1152797.6870704477</v>
      </c>
      <c r="J15" s="18"/>
    </row>
    <row r="16" spans="1:10" ht="15" hidden="1" customHeight="1" x14ac:dyDescent="0.3">
      <c r="A16" s="16" t="s">
        <v>112</v>
      </c>
      <c r="B16" s="16" t="s">
        <v>65</v>
      </c>
      <c r="C16" s="16" t="s">
        <v>86</v>
      </c>
      <c r="D16" s="17"/>
      <c r="E16" s="17"/>
      <c r="F16" s="17"/>
      <c r="G16" s="18"/>
      <c r="H16" s="18"/>
      <c r="I16" s="17">
        <v>1325817.5739210001</v>
      </c>
      <c r="J16" s="18"/>
    </row>
    <row r="17" spans="1:10" ht="15" hidden="1" customHeight="1" x14ac:dyDescent="0.3">
      <c r="A17" s="16" t="s">
        <v>112</v>
      </c>
      <c r="B17" s="16" t="s">
        <v>69</v>
      </c>
      <c r="C17" s="16" t="s">
        <v>84</v>
      </c>
      <c r="D17" s="17"/>
      <c r="E17" s="17"/>
      <c r="F17" s="17"/>
      <c r="G17" s="18"/>
      <c r="H17" s="18"/>
      <c r="I17" s="17"/>
      <c r="J17" s="18"/>
    </row>
    <row r="18" spans="1:10" ht="15" hidden="1" customHeight="1" x14ac:dyDescent="0.3">
      <c r="A18" s="16" t="s">
        <v>112</v>
      </c>
      <c r="B18" s="16" t="s">
        <v>73</v>
      </c>
      <c r="C18" s="16" t="s">
        <v>89</v>
      </c>
      <c r="D18" s="17"/>
      <c r="E18" s="17"/>
      <c r="F18" s="17"/>
      <c r="G18" s="18"/>
      <c r="H18" s="18"/>
      <c r="I18" s="17"/>
      <c r="J18" s="18"/>
    </row>
    <row r="19" spans="1:10" ht="15" customHeight="1" x14ac:dyDescent="0.3">
      <c r="A19" s="16" t="s">
        <v>112</v>
      </c>
      <c r="B19" s="16" t="s">
        <v>77</v>
      </c>
      <c r="C19" s="16" t="s">
        <v>97</v>
      </c>
      <c r="D19" s="17"/>
      <c r="E19" s="17"/>
      <c r="F19" s="17"/>
      <c r="G19" s="18"/>
      <c r="H19" s="18"/>
      <c r="I19" s="17">
        <v>4807500.5852187499</v>
      </c>
      <c r="J19" s="18"/>
    </row>
    <row r="20" spans="1:10" ht="15" hidden="1" customHeight="1" x14ac:dyDescent="0.3">
      <c r="A20" s="16" t="s">
        <v>113</v>
      </c>
      <c r="B20" s="16" t="s">
        <v>57</v>
      </c>
      <c r="C20" s="16" t="s">
        <v>84</v>
      </c>
      <c r="D20" s="17"/>
      <c r="E20" s="17"/>
      <c r="F20" s="17"/>
      <c r="G20" s="18"/>
      <c r="H20" s="18"/>
      <c r="I20" s="17">
        <v>5628772.2353977002</v>
      </c>
      <c r="J20" s="18"/>
    </row>
    <row r="21" spans="1:10" ht="15" hidden="1" customHeight="1" x14ac:dyDescent="0.3">
      <c r="A21" s="16" t="s">
        <v>113</v>
      </c>
      <c r="B21" s="16" t="s">
        <v>57</v>
      </c>
      <c r="C21" s="16" t="s">
        <v>86</v>
      </c>
      <c r="D21" s="17"/>
      <c r="E21" s="17"/>
      <c r="F21" s="17"/>
      <c r="G21" s="18"/>
      <c r="H21" s="18"/>
      <c r="I21" s="17">
        <v>1152797.6870704477</v>
      </c>
      <c r="J21" s="18"/>
    </row>
    <row r="22" spans="1:10" ht="15" hidden="1" customHeight="1" x14ac:dyDescent="0.3">
      <c r="A22" s="16" t="s">
        <v>113</v>
      </c>
      <c r="B22" s="16" t="s">
        <v>65</v>
      </c>
      <c r="C22" s="16" t="s">
        <v>86</v>
      </c>
      <c r="D22" s="17"/>
      <c r="E22" s="17"/>
      <c r="F22" s="17"/>
      <c r="G22" s="18"/>
      <c r="H22" s="18"/>
      <c r="I22" s="17">
        <v>1325817.5739210001</v>
      </c>
      <c r="J22" s="18"/>
    </row>
    <row r="23" spans="1:10" ht="15" hidden="1" customHeight="1" x14ac:dyDescent="0.3">
      <c r="A23" s="16" t="s">
        <v>113</v>
      </c>
      <c r="B23" s="16" t="s">
        <v>69</v>
      </c>
      <c r="C23" s="16" t="s">
        <v>84</v>
      </c>
      <c r="D23" s="17"/>
      <c r="E23" s="17"/>
      <c r="F23" s="17"/>
      <c r="G23" s="18"/>
      <c r="H23" s="18"/>
      <c r="I23" s="17"/>
      <c r="J23" s="18"/>
    </row>
    <row r="24" spans="1:10" ht="15" hidden="1" customHeight="1" x14ac:dyDescent="0.3">
      <c r="A24" s="16" t="s">
        <v>113</v>
      </c>
      <c r="B24" s="16" t="s">
        <v>73</v>
      </c>
      <c r="C24" s="16" t="s">
        <v>89</v>
      </c>
      <c r="D24" s="17"/>
      <c r="E24" s="17"/>
      <c r="F24" s="17"/>
      <c r="G24" s="18"/>
      <c r="H24" s="18"/>
      <c r="I24" s="17"/>
      <c r="J24" s="18"/>
    </row>
    <row r="25" spans="1:10" ht="15" customHeight="1" x14ac:dyDescent="0.3">
      <c r="A25" s="16" t="s">
        <v>113</v>
      </c>
      <c r="B25" s="16" t="s">
        <v>77</v>
      </c>
      <c r="C25" s="16" t="s">
        <v>97</v>
      </c>
      <c r="D25" s="17"/>
      <c r="E25" s="17"/>
      <c r="F25" s="17"/>
      <c r="G25" s="18"/>
      <c r="H25" s="18"/>
      <c r="I25" s="17">
        <v>4807500.5852187499</v>
      </c>
      <c r="J25" s="18"/>
    </row>
    <row r="26" spans="1:10" ht="15" hidden="1" customHeight="1" x14ac:dyDescent="0.3">
      <c r="A26" s="16" t="s">
        <v>114</v>
      </c>
      <c r="B26" s="16" t="s">
        <v>57</v>
      </c>
      <c r="C26" s="16" t="s">
        <v>84</v>
      </c>
      <c r="D26" s="17"/>
      <c r="E26" s="17"/>
      <c r="F26" s="17"/>
      <c r="G26" s="18"/>
      <c r="H26" s="18"/>
      <c r="I26" s="17">
        <v>5628772.2353977002</v>
      </c>
      <c r="J26" s="18"/>
    </row>
    <row r="27" spans="1:10" ht="15" hidden="1" customHeight="1" x14ac:dyDescent="0.3">
      <c r="A27" s="16" t="s">
        <v>114</v>
      </c>
      <c r="B27" s="16" t="s">
        <v>57</v>
      </c>
      <c r="C27" s="16" t="s">
        <v>86</v>
      </c>
      <c r="D27" s="17"/>
      <c r="E27" s="17"/>
      <c r="F27" s="17"/>
      <c r="G27" s="18"/>
      <c r="H27" s="18"/>
      <c r="I27" s="17">
        <v>1152797.6870704477</v>
      </c>
      <c r="J27" s="18"/>
    </row>
    <row r="28" spans="1:10" ht="15" hidden="1" customHeight="1" x14ac:dyDescent="0.3">
      <c r="A28" s="16" t="s">
        <v>114</v>
      </c>
      <c r="B28" s="16" t="s">
        <v>65</v>
      </c>
      <c r="C28" s="16" t="s">
        <v>86</v>
      </c>
      <c r="D28" s="17"/>
      <c r="E28" s="17"/>
      <c r="F28" s="17"/>
      <c r="G28" s="18"/>
      <c r="H28" s="18"/>
      <c r="I28" s="17">
        <v>1325817.5739210001</v>
      </c>
      <c r="J28" s="18"/>
    </row>
    <row r="29" spans="1:10" ht="15" hidden="1" customHeight="1" x14ac:dyDescent="0.3">
      <c r="A29" s="16" t="s">
        <v>114</v>
      </c>
      <c r="B29" s="16" t="s">
        <v>69</v>
      </c>
      <c r="C29" s="16" t="s">
        <v>84</v>
      </c>
      <c r="D29" s="17"/>
      <c r="E29" s="17"/>
      <c r="F29" s="17"/>
      <c r="G29" s="18"/>
      <c r="H29" s="18"/>
      <c r="I29" s="17"/>
      <c r="J29" s="18"/>
    </row>
    <row r="30" spans="1:10" ht="15" hidden="1" customHeight="1" x14ac:dyDescent="0.3">
      <c r="A30" s="16" t="s">
        <v>114</v>
      </c>
      <c r="B30" s="16" t="s">
        <v>73</v>
      </c>
      <c r="C30" s="16" t="s">
        <v>89</v>
      </c>
      <c r="D30" s="17"/>
      <c r="E30" s="17"/>
      <c r="F30" s="17"/>
      <c r="G30" s="18"/>
      <c r="H30" s="18"/>
      <c r="I30" s="17"/>
      <c r="J30" s="18"/>
    </row>
    <row r="31" spans="1:10" ht="15" customHeight="1" x14ac:dyDescent="0.3">
      <c r="A31" s="16" t="s">
        <v>114</v>
      </c>
      <c r="B31" s="16" t="s">
        <v>77</v>
      </c>
      <c r="C31" s="16" t="s">
        <v>97</v>
      </c>
      <c r="D31" s="17"/>
      <c r="E31" s="17"/>
      <c r="F31" s="17"/>
      <c r="G31" s="18"/>
      <c r="H31" s="18"/>
      <c r="I31" s="17">
        <v>4807500.5852187499</v>
      </c>
      <c r="J31" s="18"/>
    </row>
    <row r="32" spans="1:10" ht="15" hidden="1" customHeight="1" x14ac:dyDescent="0.3">
      <c r="A32" s="16" t="s">
        <v>115</v>
      </c>
      <c r="B32" s="16" t="s">
        <v>57</v>
      </c>
      <c r="C32" s="16" t="s">
        <v>84</v>
      </c>
      <c r="D32" s="17"/>
      <c r="E32" s="17"/>
      <c r="F32" s="17"/>
      <c r="G32" s="18"/>
      <c r="H32" s="18"/>
      <c r="I32" s="17">
        <v>5628772.2353977002</v>
      </c>
      <c r="J32" s="18"/>
    </row>
    <row r="33" spans="1:10" ht="15" hidden="1" customHeight="1" x14ac:dyDescent="0.3">
      <c r="A33" s="16" t="s">
        <v>115</v>
      </c>
      <c r="B33" s="16" t="s">
        <v>57</v>
      </c>
      <c r="C33" s="16" t="s">
        <v>86</v>
      </c>
      <c r="D33" s="17"/>
      <c r="E33" s="17"/>
      <c r="F33" s="17"/>
      <c r="G33" s="18"/>
      <c r="H33" s="18"/>
      <c r="I33" s="17">
        <v>1152797.6870704477</v>
      </c>
      <c r="J33" s="18"/>
    </row>
    <row r="34" spans="1:10" ht="15" hidden="1" customHeight="1" x14ac:dyDescent="0.3">
      <c r="A34" s="16" t="s">
        <v>115</v>
      </c>
      <c r="B34" s="16" t="s">
        <v>65</v>
      </c>
      <c r="C34" s="16" t="s">
        <v>86</v>
      </c>
      <c r="D34" s="17"/>
      <c r="E34" s="17"/>
      <c r="F34" s="17"/>
      <c r="G34" s="18"/>
      <c r="H34" s="18"/>
      <c r="I34" s="17">
        <v>1325817.5739210001</v>
      </c>
      <c r="J34" s="18"/>
    </row>
    <row r="35" spans="1:10" ht="15" hidden="1" customHeight="1" x14ac:dyDescent="0.3">
      <c r="A35" s="16" t="s">
        <v>115</v>
      </c>
      <c r="B35" s="16" t="s">
        <v>69</v>
      </c>
      <c r="C35" s="16" t="s">
        <v>84</v>
      </c>
      <c r="D35" s="17"/>
      <c r="E35" s="17"/>
      <c r="F35" s="17"/>
      <c r="G35" s="18"/>
      <c r="H35" s="18"/>
      <c r="I35" s="17"/>
      <c r="J35" s="18"/>
    </row>
    <row r="36" spans="1:10" ht="15" hidden="1" customHeight="1" x14ac:dyDescent="0.3">
      <c r="A36" s="16" t="s">
        <v>115</v>
      </c>
      <c r="B36" s="16" t="s">
        <v>71</v>
      </c>
      <c r="C36" s="16" t="s">
        <v>84</v>
      </c>
      <c r="D36" s="17"/>
      <c r="E36" s="17"/>
      <c r="F36" s="17"/>
      <c r="G36" s="18"/>
      <c r="H36" s="18"/>
      <c r="I36" s="17">
        <v>1476635.6408655206</v>
      </c>
      <c r="J36" s="18"/>
    </row>
    <row r="37" spans="1:10" ht="15" hidden="1" customHeight="1" x14ac:dyDescent="0.3">
      <c r="A37" s="16" t="s">
        <v>115</v>
      </c>
      <c r="B37" s="16" t="s">
        <v>73</v>
      </c>
      <c r="C37" s="16" t="s">
        <v>89</v>
      </c>
      <c r="D37" s="17"/>
      <c r="E37" s="17"/>
      <c r="F37" s="17"/>
      <c r="G37" s="18"/>
      <c r="H37" s="18"/>
      <c r="I37" s="17"/>
      <c r="J37" s="18"/>
    </row>
    <row r="38" spans="1:10" ht="15" customHeight="1" x14ac:dyDescent="0.3">
      <c r="A38" s="16" t="s">
        <v>115</v>
      </c>
      <c r="B38" s="16" t="s">
        <v>77</v>
      </c>
      <c r="C38" s="16" t="s">
        <v>97</v>
      </c>
      <c r="D38" s="17"/>
      <c r="E38" s="17"/>
      <c r="F38" s="17"/>
      <c r="G38" s="18"/>
      <c r="H38" s="18"/>
      <c r="I38" s="17">
        <v>4807500.5852187499</v>
      </c>
      <c r="J38" s="18"/>
    </row>
    <row r="39" spans="1:10" ht="15" hidden="1" customHeight="1" x14ac:dyDescent="0.3">
      <c r="A39" s="16" t="s">
        <v>116</v>
      </c>
      <c r="B39" s="16" t="s">
        <v>57</v>
      </c>
      <c r="C39" s="16" t="s">
        <v>84</v>
      </c>
      <c r="D39" s="17"/>
      <c r="E39" s="17"/>
      <c r="F39" s="17"/>
      <c r="G39" s="18"/>
      <c r="H39" s="18"/>
      <c r="I39" s="17">
        <v>5628772.2353977002</v>
      </c>
      <c r="J39" s="18"/>
    </row>
    <row r="40" spans="1:10" ht="15" hidden="1" customHeight="1" x14ac:dyDescent="0.3">
      <c r="A40" s="16" t="s">
        <v>116</v>
      </c>
      <c r="B40" s="16" t="s">
        <v>57</v>
      </c>
      <c r="C40" s="16" t="s">
        <v>86</v>
      </c>
      <c r="D40" s="17"/>
      <c r="E40" s="17"/>
      <c r="F40" s="17"/>
      <c r="G40" s="18"/>
      <c r="H40" s="18"/>
      <c r="I40" s="17">
        <v>1152797.6870704477</v>
      </c>
      <c r="J40" s="18"/>
    </row>
    <row r="41" spans="1:10" ht="15" hidden="1" customHeight="1" x14ac:dyDescent="0.3">
      <c r="A41" s="16" t="s">
        <v>116</v>
      </c>
      <c r="B41" s="16" t="s">
        <v>65</v>
      </c>
      <c r="C41" s="16" t="s">
        <v>86</v>
      </c>
      <c r="D41" s="17"/>
      <c r="E41" s="17"/>
      <c r="F41" s="17"/>
      <c r="G41" s="18"/>
      <c r="H41" s="18"/>
      <c r="I41" s="17">
        <v>1325817.5739210001</v>
      </c>
      <c r="J41" s="18"/>
    </row>
    <row r="42" spans="1:10" ht="15" hidden="1" customHeight="1" x14ac:dyDescent="0.3">
      <c r="A42" s="16" t="s">
        <v>116</v>
      </c>
      <c r="B42" s="16" t="s">
        <v>69</v>
      </c>
      <c r="C42" s="16" t="s">
        <v>84</v>
      </c>
      <c r="D42" s="17"/>
      <c r="E42" s="17"/>
      <c r="F42" s="17"/>
      <c r="G42" s="18"/>
      <c r="H42" s="18"/>
      <c r="I42" s="17"/>
      <c r="J42" s="18"/>
    </row>
    <row r="43" spans="1:10" ht="15" hidden="1" customHeight="1" x14ac:dyDescent="0.3">
      <c r="A43" s="16" t="s">
        <v>116</v>
      </c>
      <c r="B43" s="16" t="s">
        <v>71</v>
      </c>
      <c r="C43" s="16" t="s">
        <v>84</v>
      </c>
      <c r="D43" s="17"/>
      <c r="E43" s="17"/>
      <c r="F43" s="17"/>
      <c r="G43" s="18"/>
      <c r="H43" s="18"/>
      <c r="I43" s="17">
        <v>1476635.6408655206</v>
      </c>
      <c r="J43" s="18"/>
    </row>
    <row r="44" spans="1:10" ht="15" hidden="1" customHeight="1" x14ac:dyDescent="0.3">
      <c r="A44" s="16" t="s">
        <v>116</v>
      </c>
      <c r="B44" s="16" t="s">
        <v>73</v>
      </c>
      <c r="C44" s="16" t="s">
        <v>89</v>
      </c>
      <c r="D44" s="17"/>
      <c r="E44" s="17"/>
      <c r="F44" s="17"/>
      <c r="G44" s="18"/>
      <c r="H44" s="18"/>
      <c r="I44" s="17"/>
      <c r="J44" s="18"/>
    </row>
    <row r="45" spans="1:10" ht="15" customHeight="1" x14ac:dyDescent="0.3">
      <c r="A45" s="16" t="s">
        <v>116</v>
      </c>
      <c r="B45" s="16" t="s">
        <v>77</v>
      </c>
      <c r="C45" s="16" t="s">
        <v>97</v>
      </c>
      <c r="D45" s="17"/>
      <c r="E45" s="17"/>
      <c r="F45" s="17"/>
      <c r="G45" s="18"/>
      <c r="H45" s="18"/>
      <c r="I45" s="17">
        <v>4807500.5852187499</v>
      </c>
      <c r="J45" s="18"/>
    </row>
    <row r="46" spans="1:10" ht="15" hidden="1" customHeight="1" x14ac:dyDescent="0.3">
      <c r="A46" s="16" t="s">
        <v>117</v>
      </c>
      <c r="B46" s="16" t="s">
        <v>57</v>
      </c>
      <c r="C46" s="16" t="s">
        <v>84</v>
      </c>
      <c r="D46" s="17"/>
      <c r="E46" s="17"/>
      <c r="F46" s="17"/>
      <c r="G46" s="18"/>
      <c r="H46" s="18"/>
      <c r="I46" s="17">
        <v>5628772.2353977002</v>
      </c>
      <c r="J46" s="18"/>
    </row>
    <row r="47" spans="1:10" ht="15" hidden="1" customHeight="1" x14ac:dyDescent="0.3">
      <c r="A47" s="16" t="s">
        <v>117</v>
      </c>
      <c r="B47" s="16" t="s">
        <v>57</v>
      </c>
      <c r="C47" s="16" t="s">
        <v>86</v>
      </c>
      <c r="D47" s="17"/>
      <c r="E47" s="17"/>
      <c r="F47" s="17"/>
      <c r="G47" s="18"/>
      <c r="H47" s="18"/>
      <c r="I47" s="17">
        <v>1152797.6870704477</v>
      </c>
      <c r="J47" s="18"/>
    </row>
    <row r="48" spans="1:10" ht="15" hidden="1" customHeight="1" x14ac:dyDescent="0.3">
      <c r="A48" s="16" t="s">
        <v>117</v>
      </c>
      <c r="B48" s="16" t="s">
        <v>65</v>
      </c>
      <c r="C48" s="16" t="s">
        <v>86</v>
      </c>
      <c r="D48" s="17"/>
      <c r="E48" s="17"/>
      <c r="F48" s="17"/>
      <c r="G48" s="18"/>
      <c r="H48" s="18"/>
      <c r="I48" s="17">
        <v>1325817.5739210001</v>
      </c>
      <c r="J48" s="18"/>
    </row>
    <row r="49" spans="1:10" ht="15" hidden="1" customHeight="1" x14ac:dyDescent="0.3">
      <c r="A49" s="16" t="s">
        <v>117</v>
      </c>
      <c r="B49" s="16" t="s">
        <v>69</v>
      </c>
      <c r="C49" s="16" t="s">
        <v>84</v>
      </c>
      <c r="D49" s="17"/>
      <c r="E49" s="17"/>
      <c r="F49" s="17"/>
      <c r="G49" s="18"/>
      <c r="H49" s="18"/>
      <c r="I49" s="17"/>
      <c r="J49" s="18"/>
    </row>
    <row r="50" spans="1:10" ht="15" hidden="1" customHeight="1" x14ac:dyDescent="0.3">
      <c r="A50" s="16" t="s">
        <v>117</v>
      </c>
      <c r="B50" s="16" t="s">
        <v>71</v>
      </c>
      <c r="C50" s="16" t="s">
        <v>84</v>
      </c>
      <c r="D50" s="17"/>
      <c r="E50" s="17"/>
      <c r="F50" s="17"/>
      <c r="G50" s="18"/>
      <c r="H50" s="18"/>
      <c r="I50" s="17">
        <v>1476635.6408655206</v>
      </c>
      <c r="J50" s="18"/>
    </row>
    <row r="51" spans="1:10" ht="15" hidden="1" customHeight="1" x14ac:dyDescent="0.3">
      <c r="A51" s="16" t="s">
        <v>117</v>
      </c>
      <c r="B51" s="16" t="s">
        <v>73</v>
      </c>
      <c r="C51" s="16" t="s">
        <v>89</v>
      </c>
      <c r="D51" s="17"/>
      <c r="E51" s="17"/>
      <c r="F51" s="17"/>
      <c r="G51" s="18"/>
      <c r="H51" s="18"/>
      <c r="I51" s="17"/>
      <c r="J51" s="18"/>
    </row>
    <row r="52" spans="1:10" ht="15" customHeight="1" x14ac:dyDescent="0.3">
      <c r="A52" s="16" t="s">
        <v>117</v>
      </c>
      <c r="B52" s="16" t="s">
        <v>77</v>
      </c>
      <c r="C52" s="16" t="s">
        <v>97</v>
      </c>
      <c r="D52" s="17"/>
      <c r="E52" s="17"/>
      <c r="F52" s="17"/>
      <c r="G52" s="18"/>
      <c r="H52" s="18"/>
      <c r="I52" s="17">
        <v>4807500.5852187499</v>
      </c>
      <c r="J52" s="18"/>
    </row>
    <row r="53" spans="1:10" ht="15" hidden="1" customHeight="1" x14ac:dyDescent="0.3">
      <c r="A53" s="16" t="s">
        <v>118</v>
      </c>
      <c r="B53" s="16" t="s">
        <v>57</v>
      </c>
      <c r="C53" s="16" t="s">
        <v>84</v>
      </c>
      <c r="D53" s="17"/>
      <c r="E53" s="17"/>
      <c r="F53" s="17"/>
      <c r="G53" s="18"/>
      <c r="H53" s="18"/>
      <c r="I53" s="17">
        <v>5628772.2353977002</v>
      </c>
      <c r="J53" s="18"/>
    </row>
    <row r="54" spans="1:10" ht="15" hidden="1" customHeight="1" x14ac:dyDescent="0.3">
      <c r="A54" s="16" t="s">
        <v>118</v>
      </c>
      <c r="B54" s="16" t="s">
        <v>57</v>
      </c>
      <c r="C54" s="16" t="s">
        <v>86</v>
      </c>
      <c r="D54" s="17"/>
      <c r="E54" s="17"/>
      <c r="F54" s="17"/>
      <c r="G54" s="18"/>
      <c r="H54" s="18"/>
      <c r="I54" s="17">
        <v>1152797.6870704477</v>
      </c>
      <c r="J54" s="18"/>
    </row>
    <row r="55" spans="1:10" ht="15" hidden="1" customHeight="1" x14ac:dyDescent="0.3">
      <c r="A55" s="16" t="s">
        <v>118</v>
      </c>
      <c r="B55" s="16" t="s">
        <v>65</v>
      </c>
      <c r="C55" s="16" t="s">
        <v>86</v>
      </c>
      <c r="D55" s="17"/>
      <c r="E55" s="17"/>
      <c r="F55" s="17"/>
      <c r="G55" s="18"/>
      <c r="H55" s="18"/>
      <c r="I55" s="17">
        <v>1325817.5739210001</v>
      </c>
      <c r="J55" s="18"/>
    </row>
    <row r="56" spans="1:10" ht="15" hidden="1" customHeight="1" x14ac:dyDescent="0.3">
      <c r="A56" s="16" t="s">
        <v>118</v>
      </c>
      <c r="B56" s="16" t="s">
        <v>69</v>
      </c>
      <c r="C56" s="16" t="s">
        <v>84</v>
      </c>
      <c r="D56" s="17"/>
      <c r="E56" s="17"/>
      <c r="F56" s="17"/>
      <c r="G56" s="18"/>
      <c r="H56" s="18"/>
      <c r="I56" s="17"/>
      <c r="J56" s="18"/>
    </row>
    <row r="57" spans="1:10" ht="15" hidden="1" customHeight="1" x14ac:dyDescent="0.3">
      <c r="A57" s="16" t="s">
        <v>118</v>
      </c>
      <c r="B57" s="16" t="s">
        <v>71</v>
      </c>
      <c r="C57" s="16" t="s">
        <v>84</v>
      </c>
      <c r="D57" s="17"/>
      <c r="E57" s="17"/>
      <c r="F57" s="17"/>
      <c r="G57" s="18"/>
      <c r="H57" s="18"/>
      <c r="I57" s="17">
        <v>1476635.6408655206</v>
      </c>
      <c r="J57" s="18"/>
    </row>
    <row r="58" spans="1:10" ht="15" hidden="1" customHeight="1" x14ac:dyDescent="0.3">
      <c r="A58" s="16" t="s">
        <v>118</v>
      </c>
      <c r="B58" s="16" t="s">
        <v>73</v>
      </c>
      <c r="C58" s="16" t="s">
        <v>89</v>
      </c>
      <c r="D58" s="17"/>
      <c r="E58" s="17"/>
      <c r="F58" s="17"/>
      <c r="G58" s="18"/>
      <c r="H58" s="18"/>
      <c r="I58" s="17"/>
      <c r="J58" s="18"/>
    </row>
    <row r="59" spans="1:10" ht="15" customHeight="1" x14ac:dyDescent="0.3">
      <c r="A59" s="16" t="s">
        <v>118</v>
      </c>
      <c r="B59" s="16" t="s">
        <v>77</v>
      </c>
      <c r="C59" s="16" t="s">
        <v>97</v>
      </c>
      <c r="D59" s="17"/>
      <c r="E59" s="17"/>
      <c r="F59" s="17"/>
      <c r="G59" s="18"/>
      <c r="H59" s="18"/>
      <c r="I59" s="17">
        <v>4807500.5852187499</v>
      </c>
      <c r="J59" s="18"/>
    </row>
    <row r="60" spans="1:10" ht="15" hidden="1" customHeight="1" x14ac:dyDescent="0.3">
      <c r="A60" s="16" t="s">
        <v>119</v>
      </c>
      <c r="B60" s="16" t="s">
        <v>57</v>
      </c>
      <c r="C60" s="16" t="s">
        <v>84</v>
      </c>
      <c r="D60" s="17"/>
      <c r="E60" s="17"/>
      <c r="F60" s="17"/>
      <c r="G60" s="18"/>
      <c r="H60" s="18"/>
      <c r="I60" s="17">
        <v>5628772.2353977002</v>
      </c>
      <c r="J60" s="18"/>
    </row>
    <row r="61" spans="1:10" ht="15" hidden="1" customHeight="1" x14ac:dyDescent="0.3">
      <c r="A61" s="16" t="s">
        <v>119</v>
      </c>
      <c r="B61" s="16" t="s">
        <v>57</v>
      </c>
      <c r="C61" s="16" t="s">
        <v>86</v>
      </c>
      <c r="D61" s="17"/>
      <c r="E61" s="17"/>
      <c r="F61" s="17"/>
      <c r="G61" s="18"/>
      <c r="H61" s="18"/>
      <c r="I61" s="17">
        <v>1152797.6870704477</v>
      </c>
      <c r="J61" s="18"/>
    </row>
    <row r="62" spans="1:10" ht="15" hidden="1" customHeight="1" x14ac:dyDescent="0.3">
      <c r="A62" s="16" t="s">
        <v>119</v>
      </c>
      <c r="B62" s="16" t="s">
        <v>65</v>
      </c>
      <c r="C62" s="16" t="s">
        <v>86</v>
      </c>
      <c r="D62" s="17"/>
      <c r="E62" s="17"/>
      <c r="F62" s="17"/>
      <c r="G62" s="18"/>
      <c r="H62" s="18"/>
      <c r="I62" s="17">
        <v>1325817.5739210001</v>
      </c>
      <c r="J62" s="18"/>
    </row>
    <row r="63" spans="1:10" ht="15" hidden="1" customHeight="1" x14ac:dyDescent="0.3">
      <c r="A63" s="16" t="s">
        <v>119</v>
      </c>
      <c r="B63" s="16" t="s">
        <v>69</v>
      </c>
      <c r="C63" s="16" t="s">
        <v>84</v>
      </c>
      <c r="D63" s="17"/>
      <c r="E63" s="17"/>
      <c r="F63" s="17"/>
      <c r="G63" s="18"/>
      <c r="H63" s="18"/>
      <c r="I63" s="17"/>
      <c r="J63" s="18"/>
    </row>
    <row r="64" spans="1:10" ht="15" hidden="1" customHeight="1" x14ac:dyDescent="0.3">
      <c r="A64" s="16" t="s">
        <v>119</v>
      </c>
      <c r="B64" s="16" t="s">
        <v>71</v>
      </c>
      <c r="C64" s="16" t="s">
        <v>84</v>
      </c>
      <c r="D64" s="17"/>
      <c r="E64" s="17"/>
      <c r="F64" s="17"/>
      <c r="G64" s="18"/>
      <c r="H64" s="18"/>
      <c r="I64" s="17">
        <v>1476635.6408655206</v>
      </c>
      <c r="J64" s="18"/>
    </row>
    <row r="65" spans="1:10" ht="15" hidden="1" customHeight="1" x14ac:dyDescent="0.3">
      <c r="A65" s="16" t="s">
        <v>119</v>
      </c>
      <c r="B65" s="16" t="s">
        <v>73</v>
      </c>
      <c r="C65" s="16" t="s">
        <v>89</v>
      </c>
      <c r="D65" s="17"/>
      <c r="E65" s="17"/>
      <c r="F65" s="17"/>
      <c r="G65" s="18"/>
      <c r="H65" s="18"/>
      <c r="I65" s="17"/>
      <c r="J65" s="18"/>
    </row>
    <row r="66" spans="1:10" ht="15" customHeight="1" x14ac:dyDescent="0.3">
      <c r="A66" s="16" t="s">
        <v>119</v>
      </c>
      <c r="B66" s="16" t="s">
        <v>77</v>
      </c>
      <c r="C66" s="16" t="s">
        <v>97</v>
      </c>
      <c r="D66" s="17"/>
      <c r="E66" s="17"/>
      <c r="F66" s="17"/>
      <c r="G66" s="18"/>
      <c r="H66" s="18"/>
      <c r="I66" s="17">
        <v>4807500.5852187499</v>
      </c>
      <c r="J66" s="18"/>
    </row>
    <row r="67" spans="1:10" ht="15" hidden="1" customHeight="1" x14ac:dyDescent="0.3">
      <c r="A67" s="16" t="s">
        <v>120</v>
      </c>
      <c r="B67" s="16" t="s">
        <v>57</v>
      </c>
      <c r="C67" s="16" t="s">
        <v>84</v>
      </c>
      <c r="D67" s="17"/>
      <c r="E67" s="17"/>
      <c r="F67" s="17"/>
      <c r="G67" s="18"/>
      <c r="H67" s="18"/>
      <c r="I67" s="17">
        <v>5628772.2353977002</v>
      </c>
      <c r="J67" s="18"/>
    </row>
    <row r="68" spans="1:10" ht="15" hidden="1" customHeight="1" x14ac:dyDescent="0.3">
      <c r="A68" s="16" t="s">
        <v>120</v>
      </c>
      <c r="B68" s="16" t="s">
        <v>57</v>
      </c>
      <c r="C68" s="16" t="s">
        <v>86</v>
      </c>
      <c r="D68" s="17"/>
      <c r="E68" s="17"/>
      <c r="F68" s="17"/>
      <c r="G68" s="18"/>
      <c r="H68" s="18"/>
      <c r="I68" s="17">
        <v>1152797.6870704477</v>
      </c>
      <c r="J68" s="18"/>
    </row>
    <row r="69" spans="1:10" ht="15" hidden="1" customHeight="1" x14ac:dyDescent="0.3">
      <c r="A69" s="16" t="s">
        <v>120</v>
      </c>
      <c r="B69" s="16" t="s">
        <v>65</v>
      </c>
      <c r="C69" s="16" t="s">
        <v>86</v>
      </c>
      <c r="D69" s="17"/>
      <c r="E69" s="17"/>
      <c r="F69" s="17"/>
      <c r="G69" s="18"/>
      <c r="H69" s="18"/>
      <c r="I69" s="17">
        <v>1325817.5739210001</v>
      </c>
      <c r="J69" s="18"/>
    </row>
    <row r="70" spans="1:10" ht="15" hidden="1" customHeight="1" x14ac:dyDescent="0.3">
      <c r="A70" s="16" t="s">
        <v>120</v>
      </c>
      <c r="B70" s="16" t="s">
        <v>69</v>
      </c>
      <c r="C70" s="16" t="s">
        <v>84</v>
      </c>
      <c r="D70" s="17"/>
      <c r="E70" s="17"/>
      <c r="F70" s="17"/>
      <c r="G70" s="18"/>
      <c r="H70" s="18"/>
      <c r="I70" s="17"/>
      <c r="J70" s="18"/>
    </row>
    <row r="71" spans="1:10" ht="15" hidden="1" customHeight="1" x14ac:dyDescent="0.3">
      <c r="A71" s="16" t="s">
        <v>120</v>
      </c>
      <c r="B71" s="16" t="s">
        <v>71</v>
      </c>
      <c r="C71" s="16" t="s">
        <v>84</v>
      </c>
      <c r="D71" s="17"/>
      <c r="E71" s="17"/>
      <c r="F71" s="17"/>
      <c r="G71" s="18"/>
      <c r="H71" s="18"/>
      <c r="I71" s="17">
        <v>1476635.6408655206</v>
      </c>
      <c r="J71" s="18"/>
    </row>
    <row r="72" spans="1:10" ht="15" hidden="1" customHeight="1" x14ac:dyDescent="0.3">
      <c r="A72" s="16" t="s">
        <v>120</v>
      </c>
      <c r="B72" s="16" t="s">
        <v>73</v>
      </c>
      <c r="C72" s="16" t="s">
        <v>89</v>
      </c>
      <c r="D72" s="17"/>
      <c r="E72" s="17"/>
      <c r="F72" s="17"/>
      <c r="G72" s="18"/>
      <c r="H72" s="18"/>
      <c r="I72" s="17"/>
      <c r="J72" s="18"/>
    </row>
    <row r="73" spans="1:10" ht="15" customHeight="1" x14ac:dyDescent="0.3">
      <c r="A73" s="16" t="s">
        <v>120</v>
      </c>
      <c r="B73" s="16" t="s">
        <v>77</v>
      </c>
      <c r="C73" s="16" t="s">
        <v>97</v>
      </c>
      <c r="D73" s="17"/>
      <c r="E73" s="17"/>
      <c r="F73" s="17"/>
      <c r="G73" s="18"/>
      <c r="H73" s="18"/>
      <c r="I73" s="17">
        <v>4807500.5852187499</v>
      </c>
      <c r="J73" s="18"/>
    </row>
    <row r="74" spans="1:10" ht="15" hidden="1" customHeight="1" x14ac:dyDescent="0.3">
      <c r="A74" s="16" t="s">
        <v>121</v>
      </c>
      <c r="B74" s="16" t="s">
        <v>57</v>
      </c>
      <c r="C74" s="16" t="s">
        <v>84</v>
      </c>
      <c r="D74" s="17"/>
      <c r="E74" s="17"/>
      <c r="F74" s="17"/>
      <c r="G74" s="18"/>
      <c r="H74" s="18"/>
      <c r="I74" s="17">
        <v>5628772.2353977002</v>
      </c>
      <c r="J74" s="18"/>
    </row>
    <row r="75" spans="1:10" ht="15" hidden="1" customHeight="1" x14ac:dyDescent="0.3">
      <c r="A75" s="16" t="s">
        <v>121</v>
      </c>
      <c r="B75" s="16" t="s">
        <v>57</v>
      </c>
      <c r="C75" s="16" t="s">
        <v>86</v>
      </c>
      <c r="D75" s="17"/>
      <c r="E75" s="17"/>
      <c r="F75" s="17"/>
      <c r="G75" s="18"/>
      <c r="H75" s="18"/>
      <c r="I75" s="17">
        <v>1152797.6870704477</v>
      </c>
      <c r="J75" s="18"/>
    </row>
    <row r="76" spans="1:10" ht="15" hidden="1" customHeight="1" x14ac:dyDescent="0.3">
      <c r="A76" s="16" t="s">
        <v>121</v>
      </c>
      <c r="B76" s="16" t="s">
        <v>65</v>
      </c>
      <c r="C76" s="16" t="s">
        <v>86</v>
      </c>
      <c r="D76" s="17"/>
      <c r="E76" s="17"/>
      <c r="F76" s="17"/>
      <c r="G76" s="18"/>
      <c r="H76" s="18"/>
      <c r="I76" s="17">
        <v>1325817.5739210001</v>
      </c>
      <c r="J76" s="18"/>
    </row>
    <row r="77" spans="1:10" ht="15" hidden="1" customHeight="1" x14ac:dyDescent="0.3">
      <c r="A77" s="16" t="s">
        <v>121</v>
      </c>
      <c r="B77" s="16" t="s">
        <v>69</v>
      </c>
      <c r="C77" s="16" t="s">
        <v>84</v>
      </c>
      <c r="D77" s="17"/>
      <c r="E77" s="17"/>
      <c r="F77" s="17"/>
      <c r="G77" s="18"/>
      <c r="H77" s="18"/>
      <c r="I77" s="17"/>
      <c r="J77" s="18"/>
    </row>
    <row r="78" spans="1:10" ht="15" hidden="1" customHeight="1" x14ac:dyDescent="0.3">
      <c r="A78" s="16" t="s">
        <v>121</v>
      </c>
      <c r="B78" s="16" t="s">
        <v>71</v>
      </c>
      <c r="C78" s="16" t="s">
        <v>84</v>
      </c>
      <c r="D78" s="17"/>
      <c r="E78" s="17"/>
      <c r="F78" s="17"/>
      <c r="G78" s="18"/>
      <c r="H78" s="18"/>
      <c r="I78" s="17">
        <v>1476635.6408655206</v>
      </c>
      <c r="J78" s="18"/>
    </row>
    <row r="79" spans="1:10" ht="15" hidden="1" customHeight="1" x14ac:dyDescent="0.3">
      <c r="A79" s="16" t="s">
        <v>121</v>
      </c>
      <c r="B79" s="16" t="s">
        <v>73</v>
      </c>
      <c r="C79" s="16" t="s">
        <v>89</v>
      </c>
      <c r="D79" s="17"/>
      <c r="E79" s="17"/>
      <c r="F79" s="17"/>
      <c r="G79" s="18"/>
      <c r="H79" s="18"/>
      <c r="I79" s="17"/>
      <c r="J79" s="18"/>
    </row>
    <row r="80" spans="1:10" ht="15" customHeight="1" x14ac:dyDescent="0.3">
      <c r="A80" s="16" t="s">
        <v>121</v>
      </c>
      <c r="B80" s="16" t="s">
        <v>77</v>
      </c>
      <c r="C80" s="16" t="s">
        <v>97</v>
      </c>
      <c r="D80" s="17"/>
      <c r="E80" s="17"/>
      <c r="F80" s="17"/>
      <c r="G80" s="18"/>
      <c r="H80" s="18"/>
      <c r="I80" s="17">
        <v>4807500.5852187499</v>
      </c>
      <c r="J80" s="18"/>
    </row>
    <row r="81" spans="1:10" ht="15" hidden="1" customHeight="1" x14ac:dyDescent="0.3">
      <c r="A81" s="16" t="s">
        <v>204</v>
      </c>
      <c r="B81" s="16" t="s">
        <v>57</v>
      </c>
      <c r="C81" s="16" t="s">
        <v>84</v>
      </c>
      <c r="D81" s="17"/>
      <c r="E81" s="17"/>
      <c r="F81" s="17"/>
      <c r="G81" s="18"/>
      <c r="H81" s="18"/>
      <c r="I81" s="17">
        <v>5628772.2353977002</v>
      </c>
      <c r="J81" s="18"/>
    </row>
    <row r="82" spans="1:10" ht="15" hidden="1" customHeight="1" x14ac:dyDescent="0.3">
      <c r="A82" s="16" t="s">
        <v>204</v>
      </c>
      <c r="B82" s="16" t="s">
        <v>57</v>
      </c>
      <c r="C82" s="16" t="s">
        <v>86</v>
      </c>
      <c r="D82" s="17"/>
      <c r="E82" s="17"/>
      <c r="F82" s="17"/>
      <c r="G82" s="18"/>
      <c r="H82" s="18"/>
      <c r="I82" s="17">
        <v>1152797.6870704477</v>
      </c>
      <c r="J82" s="18"/>
    </row>
    <row r="83" spans="1:10" ht="15" hidden="1" customHeight="1" x14ac:dyDescent="0.3">
      <c r="A83" s="16" t="s">
        <v>204</v>
      </c>
      <c r="B83" s="16" t="s">
        <v>65</v>
      </c>
      <c r="C83" s="16" t="s">
        <v>86</v>
      </c>
      <c r="D83" s="17"/>
      <c r="E83" s="17"/>
      <c r="F83" s="17"/>
      <c r="G83" s="18"/>
      <c r="H83" s="18"/>
      <c r="I83" s="17">
        <v>1325817.5739210001</v>
      </c>
      <c r="J83" s="18"/>
    </row>
    <row r="84" spans="1:10" ht="15" hidden="1" customHeight="1" x14ac:dyDescent="0.3">
      <c r="A84" s="16" t="s">
        <v>204</v>
      </c>
      <c r="B84" s="16" t="s">
        <v>69</v>
      </c>
      <c r="C84" s="16" t="s">
        <v>84</v>
      </c>
      <c r="D84" s="17"/>
      <c r="E84" s="17"/>
      <c r="F84" s="17"/>
      <c r="G84" s="18"/>
      <c r="H84" s="18"/>
      <c r="I84" s="17"/>
      <c r="J84" s="18"/>
    </row>
    <row r="85" spans="1:10" ht="15" hidden="1" customHeight="1" x14ac:dyDescent="0.3">
      <c r="A85" s="16" t="s">
        <v>204</v>
      </c>
      <c r="B85" s="16" t="s">
        <v>71</v>
      </c>
      <c r="C85" s="16" t="s">
        <v>84</v>
      </c>
      <c r="D85" s="17"/>
      <c r="E85" s="17"/>
      <c r="F85" s="17"/>
      <c r="G85" s="18"/>
      <c r="H85" s="18"/>
      <c r="I85" s="17">
        <v>1476635.6408655206</v>
      </c>
      <c r="J85" s="18"/>
    </row>
    <row r="86" spans="1:10" ht="15" hidden="1" customHeight="1" x14ac:dyDescent="0.3">
      <c r="A86" s="16" t="s">
        <v>204</v>
      </c>
      <c r="B86" s="16" t="s">
        <v>73</v>
      </c>
      <c r="C86" s="16" t="s">
        <v>89</v>
      </c>
      <c r="D86" s="17"/>
      <c r="E86" s="17"/>
      <c r="F86" s="17"/>
      <c r="G86" s="18"/>
      <c r="H86" s="18"/>
      <c r="I86" s="17"/>
      <c r="J86" s="18"/>
    </row>
    <row r="87" spans="1:10" ht="15" customHeight="1" x14ac:dyDescent="0.3">
      <c r="A87" s="16" t="s">
        <v>204</v>
      </c>
      <c r="B87" s="16" t="s">
        <v>77</v>
      </c>
      <c r="C87" s="16" t="s">
        <v>97</v>
      </c>
      <c r="D87" s="17"/>
      <c r="E87" s="17"/>
      <c r="F87" s="17"/>
      <c r="G87" s="18"/>
      <c r="H87" s="18"/>
      <c r="I87" s="17">
        <v>4807500.5852187499</v>
      </c>
      <c r="J87" s="18"/>
    </row>
  </sheetData>
  <autoFilter ref="A1:J87" xr:uid="{00000000-0009-0000-0000-000006000000}">
    <filterColumn colId="1">
      <filters>
        <filter val="U08"/>
      </filters>
    </filterColumn>
  </autoFilter>
  <dataValidations count="2">
    <dataValidation type="textLength" operator="equal" allowBlank="1" showErrorMessage="1" errorTitle="Periodo mal escrito" error="El periodo se escribe AAAA-MM, por ejemplo 2026-08." promptTitle="Periodo" prompt="AAAA-MM (ejemplo: 2026-08)" sqref="A2:A1087" xr:uid="{00000000-0002-0000-06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D2:J1087" xr:uid="{00000000-0002-0000-06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Clave inexistente" error="Esa clave no existe en la hoja dim_unidad. Agrégala primero al catálogo." xr:uid="{00000000-0002-0000-0600-000002000000}">
          <x14:formula1>
            <xm:f>dim_unidad!$A$2:$A$5000</xm:f>
          </x14:formula1>
          <x14:formula2>
            <xm:f>0</xm:f>
          </x14:formula2>
          <xm:sqref>B2:B1087</xm:sqref>
        </x14:dataValidation>
        <x14:dataValidation type="list" allowBlank="1" showErrorMessage="1" errorTitle="Clave inexistente" error="Esa clave no existe en la hoja dim_area. Agrégala primero al catálogo." xr:uid="{00000000-0002-0000-0600-000003000000}">
          <x14:formula1>
            <xm:f>dim_area!$A$2:$A$5000</xm:f>
          </x14:formula1>
          <x14:formula2>
            <xm:f>0</xm:f>
          </x14:formula2>
          <xm:sqref>C2:C1087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9"/>
  <sheetViews>
    <sheetView zoomScaleNormal="100" workbookViewId="0">
      <pane ySplit="1" topLeftCell="A2" activePane="bottomLeft" state="frozen"/>
      <selection pane="bottomLeft" activeCell="E104" sqref="E104"/>
    </sheetView>
  </sheetViews>
  <sheetFormatPr baseColWidth="10" defaultColWidth="8.6640625" defaultRowHeight="14.4" x14ac:dyDescent="0.3"/>
  <cols>
    <col min="1" max="1" width="11" customWidth="1"/>
    <col min="2" max="3" width="26" customWidth="1"/>
    <col min="4" max="5" width="15" customWidth="1"/>
    <col min="6" max="8" width="13" customWidth="1"/>
    <col min="9" max="9" width="15" customWidth="1"/>
    <col min="10" max="11" width="13" customWidth="1"/>
  </cols>
  <sheetData>
    <row r="1" spans="1:11" ht="30" customHeight="1" x14ac:dyDescent="0.3">
      <c r="A1" s="15" t="s">
        <v>100</v>
      </c>
      <c r="B1" s="15" t="s">
        <v>51</v>
      </c>
      <c r="C1" s="15" t="s">
        <v>80</v>
      </c>
      <c r="D1" s="15" t="s">
        <v>139</v>
      </c>
      <c r="E1" s="15" t="s">
        <v>140</v>
      </c>
      <c r="F1" s="15" t="s">
        <v>141</v>
      </c>
      <c r="G1" s="15" t="s">
        <v>142</v>
      </c>
      <c r="H1" s="15" t="s">
        <v>143</v>
      </c>
      <c r="I1" s="15" t="s">
        <v>144</v>
      </c>
      <c r="J1" s="15" t="s">
        <v>145</v>
      </c>
      <c r="K1" s="15" t="s">
        <v>146</v>
      </c>
    </row>
    <row r="2" spans="1:11" ht="15" customHeight="1" x14ac:dyDescent="0.3">
      <c r="A2" s="16" t="s">
        <v>121</v>
      </c>
      <c r="B2" s="16" t="s">
        <v>57</v>
      </c>
      <c r="C2" s="16" t="s">
        <v>84</v>
      </c>
      <c r="D2" s="18">
        <v>681.2</v>
      </c>
      <c r="E2" s="18">
        <v>752.6</v>
      </c>
      <c r="F2" s="17">
        <v>117</v>
      </c>
      <c r="G2" s="17">
        <v>78</v>
      </c>
      <c r="H2" s="17">
        <v>74</v>
      </c>
      <c r="I2" s="17">
        <v>289430</v>
      </c>
      <c r="J2" s="17">
        <v>41</v>
      </c>
      <c r="K2" s="17">
        <v>38</v>
      </c>
    </row>
    <row r="3" spans="1:11" ht="15" customHeight="1" x14ac:dyDescent="0.3">
      <c r="A3" s="16" t="s">
        <v>121</v>
      </c>
      <c r="B3" s="16" t="s">
        <v>57</v>
      </c>
      <c r="C3" s="16" t="s">
        <v>86</v>
      </c>
      <c r="D3" s="18">
        <v>244.4</v>
      </c>
      <c r="E3" s="18">
        <v>268.8</v>
      </c>
      <c r="F3" s="17">
        <v>42</v>
      </c>
      <c r="G3" s="17">
        <v>28</v>
      </c>
      <c r="H3" s="17">
        <v>26</v>
      </c>
      <c r="I3" s="17">
        <v>90203</v>
      </c>
      <c r="J3" s="17">
        <v>15</v>
      </c>
      <c r="K3" s="17">
        <v>14</v>
      </c>
    </row>
    <row r="4" spans="1:11" ht="15" customHeight="1" x14ac:dyDescent="0.3">
      <c r="A4" s="16" t="s">
        <v>121</v>
      </c>
      <c r="B4" s="16" t="s">
        <v>57</v>
      </c>
      <c r="C4" s="16" t="s">
        <v>89</v>
      </c>
      <c r="D4" s="18">
        <v>418.6</v>
      </c>
      <c r="E4" s="18">
        <v>441.4</v>
      </c>
      <c r="F4" s="17">
        <v>72</v>
      </c>
      <c r="G4" s="17">
        <v>48</v>
      </c>
      <c r="H4" s="17">
        <v>45</v>
      </c>
      <c r="I4" s="17">
        <v>155541</v>
      </c>
      <c r="J4" s="17">
        <v>25</v>
      </c>
      <c r="K4" s="17">
        <v>23</v>
      </c>
    </row>
    <row r="5" spans="1:11" ht="15" customHeight="1" x14ac:dyDescent="0.3">
      <c r="A5" s="16" t="s">
        <v>121</v>
      </c>
      <c r="B5" s="16" t="s">
        <v>57</v>
      </c>
      <c r="C5" s="16" t="s">
        <v>90</v>
      </c>
      <c r="D5" s="18">
        <v>47.6</v>
      </c>
      <c r="E5" s="18">
        <v>44.1</v>
      </c>
      <c r="F5" s="17">
        <v>12</v>
      </c>
      <c r="G5" s="17">
        <v>8</v>
      </c>
      <c r="H5" s="17">
        <v>7</v>
      </c>
      <c r="I5" s="17">
        <v>18285</v>
      </c>
      <c r="J5" s="17">
        <v>2</v>
      </c>
      <c r="K5" s="17">
        <v>1</v>
      </c>
    </row>
    <row r="6" spans="1:11" ht="15" customHeight="1" x14ac:dyDescent="0.3">
      <c r="A6" s="16" t="s">
        <v>121</v>
      </c>
      <c r="B6" s="16" t="s">
        <v>57</v>
      </c>
      <c r="C6" s="16" t="s">
        <v>92</v>
      </c>
      <c r="D6" s="18">
        <v>69.7</v>
      </c>
      <c r="E6" s="18">
        <v>76.8</v>
      </c>
      <c r="F6" s="17">
        <v>18</v>
      </c>
      <c r="G6" s="17">
        <v>12</v>
      </c>
      <c r="H6" s="17">
        <v>11</v>
      </c>
      <c r="I6" s="17">
        <v>19878</v>
      </c>
      <c r="J6" s="17">
        <v>2</v>
      </c>
      <c r="K6" s="17">
        <v>1</v>
      </c>
    </row>
    <row r="7" spans="1:11" ht="15" customHeight="1" x14ac:dyDescent="0.3">
      <c r="A7" s="16" t="s">
        <v>121</v>
      </c>
      <c r="B7" s="16" t="s">
        <v>57</v>
      </c>
      <c r="C7" s="16" t="s">
        <v>95</v>
      </c>
      <c r="D7" s="18">
        <v>1276.5999999999999</v>
      </c>
      <c r="E7" s="18">
        <v>1246.0999999999999</v>
      </c>
      <c r="F7" s="17">
        <v>220</v>
      </c>
      <c r="G7" s="17">
        <v>147</v>
      </c>
      <c r="H7" s="17">
        <v>144</v>
      </c>
      <c r="I7" s="17">
        <v>519256</v>
      </c>
      <c r="J7" s="17">
        <v>78</v>
      </c>
      <c r="K7" s="17">
        <v>74</v>
      </c>
    </row>
    <row r="8" spans="1:11" ht="15" customHeight="1" x14ac:dyDescent="0.3">
      <c r="A8" s="16" t="s">
        <v>121</v>
      </c>
      <c r="B8" s="16" t="s">
        <v>57</v>
      </c>
      <c r="C8" s="16" t="s">
        <v>97</v>
      </c>
      <c r="D8" s="18">
        <v>491.4</v>
      </c>
      <c r="E8" s="18">
        <v>476.6</v>
      </c>
      <c r="F8" s="17">
        <v>85</v>
      </c>
      <c r="G8" s="17">
        <v>56</v>
      </c>
      <c r="H8" s="17">
        <v>54</v>
      </c>
      <c r="I8" s="17">
        <v>155475</v>
      </c>
      <c r="J8" s="17">
        <v>30</v>
      </c>
      <c r="K8" s="17">
        <v>28</v>
      </c>
    </row>
    <row r="9" spans="1:11" ht="15" customHeight="1" x14ac:dyDescent="0.3">
      <c r="A9" s="16" t="s">
        <v>121</v>
      </c>
      <c r="B9" s="16" t="s">
        <v>57</v>
      </c>
      <c r="C9" s="16" t="s">
        <v>92</v>
      </c>
      <c r="D9" s="18">
        <v>56.1</v>
      </c>
      <c r="E9" s="18">
        <v>57.6</v>
      </c>
      <c r="F9" s="17">
        <v>14</v>
      </c>
      <c r="G9" s="17">
        <v>9</v>
      </c>
      <c r="H9" s="17">
        <v>8</v>
      </c>
      <c r="I9" s="17">
        <v>21561</v>
      </c>
      <c r="J9" s="17">
        <v>2</v>
      </c>
      <c r="K9" s="17">
        <v>1</v>
      </c>
    </row>
    <row r="10" spans="1:11" ht="15" customHeight="1" x14ac:dyDescent="0.3">
      <c r="A10" s="16" t="s">
        <v>121</v>
      </c>
      <c r="B10" s="16" t="s">
        <v>57</v>
      </c>
      <c r="C10" s="16" t="s">
        <v>97</v>
      </c>
      <c r="D10" s="18">
        <v>83.3</v>
      </c>
      <c r="E10" s="18">
        <v>78.3</v>
      </c>
      <c r="F10" s="17">
        <v>22</v>
      </c>
      <c r="G10" s="17">
        <v>14</v>
      </c>
      <c r="H10" s="17">
        <v>13</v>
      </c>
      <c r="I10" s="17">
        <v>28636</v>
      </c>
      <c r="J10" s="17">
        <v>3</v>
      </c>
      <c r="K10" s="17">
        <v>2</v>
      </c>
    </row>
    <row r="11" spans="1:11" ht="15" customHeight="1" x14ac:dyDescent="0.3">
      <c r="A11" s="16" t="s">
        <v>121</v>
      </c>
      <c r="B11" s="16" t="s">
        <v>65</v>
      </c>
      <c r="C11" s="16" t="s">
        <v>84</v>
      </c>
      <c r="D11" s="18">
        <v>1177.8</v>
      </c>
      <c r="E11" s="18">
        <v>1113.2</v>
      </c>
      <c r="F11" s="17">
        <v>203</v>
      </c>
      <c r="G11" s="17">
        <v>135</v>
      </c>
      <c r="H11" s="17">
        <v>128</v>
      </c>
      <c r="I11" s="17">
        <v>310411</v>
      </c>
      <c r="J11" s="17">
        <v>72</v>
      </c>
      <c r="K11" s="17">
        <v>68</v>
      </c>
    </row>
    <row r="12" spans="1:11" ht="15" customHeight="1" x14ac:dyDescent="0.3">
      <c r="A12" s="16" t="s">
        <v>121</v>
      </c>
      <c r="B12" s="16" t="s">
        <v>65</v>
      </c>
      <c r="C12" s="16" t="s">
        <v>86</v>
      </c>
      <c r="D12" s="18">
        <v>447.2</v>
      </c>
      <c r="E12" s="18">
        <v>451.3</v>
      </c>
      <c r="F12" s="17">
        <v>77</v>
      </c>
      <c r="G12" s="17">
        <v>51</v>
      </c>
      <c r="H12" s="17">
        <v>48</v>
      </c>
      <c r="I12" s="17">
        <v>188586</v>
      </c>
      <c r="J12" s="17">
        <v>27</v>
      </c>
      <c r="K12" s="17">
        <v>25</v>
      </c>
    </row>
    <row r="13" spans="1:11" ht="15" customHeight="1" x14ac:dyDescent="0.3">
      <c r="A13" s="16" t="s">
        <v>121</v>
      </c>
      <c r="B13" s="16" t="s">
        <v>65</v>
      </c>
      <c r="C13" s="16" t="s">
        <v>89</v>
      </c>
      <c r="D13" s="18">
        <v>51</v>
      </c>
      <c r="E13" s="18">
        <v>51.8</v>
      </c>
      <c r="F13" s="17">
        <v>13</v>
      </c>
      <c r="G13" s="17">
        <v>9</v>
      </c>
      <c r="H13" s="17">
        <v>8</v>
      </c>
      <c r="I13" s="17">
        <v>13225</v>
      </c>
      <c r="J13" s="17">
        <v>2</v>
      </c>
      <c r="K13" s="17">
        <v>1</v>
      </c>
    </row>
    <row r="14" spans="1:11" ht="15" customHeight="1" x14ac:dyDescent="0.3">
      <c r="A14" s="16" t="s">
        <v>121</v>
      </c>
      <c r="B14" s="16" t="s">
        <v>65</v>
      </c>
      <c r="C14" s="16" t="s">
        <v>90</v>
      </c>
      <c r="D14" s="18">
        <v>73.099999999999994</v>
      </c>
      <c r="E14" s="18">
        <v>77.7</v>
      </c>
      <c r="F14" s="17">
        <v>19</v>
      </c>
      <c r="G14" s="17">
        <v>12</v>
      </c>
      <c r="H14" s="17">
        <v>11</v>
      </c>
      <c r="I14" s="17">
        <v>20526</v>
      </c>
      <c r="J14" s="17">
        <v>3</v>
      </c>
      <c r="K14" s="17">
        <v>2</v>
      </c>
    </row>
    <row r="15" spans="1:11" ht="15" customHeight="1" x14ac:dyDescent="0.3">
      <c r="A15" s="16" t="s">
        <v>121</v>
      </c>
      <c r="B15" s="16" t="s">
        <v>65</v>
      </c>
      <c r="C15" s="16" t="s">
        <v>92</v>
      </c>
      <c r="D15" s="18">
        <v>520</v>
      </c>
      <c r="E15" s="18">
        <v>529.1</v>
      </c>
      <c r="F15" s="17">
        <v>90</v>
      </c>
      <c r="G15" s="17">
        <v>60</v>
      </c>
      <c r="H15" s="17">
        <v>59</v>
      </c>
      <c r="I15" s="17">
        <v>146559</v>
      </c>
      <c r="J15" s="17">
        <v>32</v>
      </c>
      <c r="K15" s="17">
        <v>31</v>
      </c>
    </row>
    <row r="16" spans="1:11" ht="15" customHeight="1" x14ac:dyDescent="0.3">
      <c r="A16" s="16" t="s">
        <v>121</v>
      </c>
      <c r="B16" s="16" t="s">
        <v>65</v>
      </c>
      <c r="C16" s="16" t="s">
        <v>95</v>
      </c>
      <c r="D16" s="18">
        <v>197.6</v>
      </c>
      <c r="E16" s="18">
        <v>200.1</v>
      </c>
      <c r="F16" s="17">
        <v>34</v>
      </c>
      <c r="G16" s="17">
        <v>22</v>
      </c>
      <c r="H16" s="17">
        <v>21</v>
      </c>
      <c r="I16" s="17">
        <v>74560</v>
      </c>
      <c r="J16" s="17">
        <v>12</v>
      </c>
      <c r="K16" s="17">
        <v>11</v>
      </c>
    </row>
    <row r="17" spans="1:11" ht="15" customHeight="1" x14ac:dyDescent="0.3">
      <c r="A17" s="16" t="s">
        <v>121</v>
      </c>
      <c r="B17" s="16" t="s">
        <v>65</v>
      </c>
      <c r="C17" s="16" t="s">
        <v>97</v>
      </c>
      <c r="D17" s="18">
        <v>353.6</v>
      </c>
      <c r="E17" s="18">
        <v>328.8</v>
      </c>
      <c r="F17" s="17">
        <v>61</v>
      </c>
      <c r="G17" s="17">
        <v>40</v>
      </c>
      <c r="H17" s="17">
        <v>39</v>
      </c>
      <c r="I17" s="17">
        <v>102268</v>
      </c>
      <c r="J17" s="17">
        <v>21</v>
      </c>
      <c r="K17" s="17">
        <v>20</v>
      </c>
    </row>
    <row r="18" spans="1:11" ht="15" customHeight="1" x14ac:dyDescent="0.3">
      <c r="A18" s="16" t="s">
        <v>121</v>
      </c>
      <c r="B18" s="16" t="s">
        <v>65</v>
      </c>
      <c r="C18" s="16" t="s">
        <v>92</v>
      </c>
      <c r="D18" s="18">
        <v>37.4</v>
      </c>
      <c r="E18" s="18">
        <v>35.299999999999997</v>
      </c>
      <c r="F18" s="17">
        <v>9</v>
      </c>
      <c r="G18" s="17">
        <v>6</v>
      </c>
      <c r="H18" s="17">
        <v>5</v>
      </c>
      <c r="I18" s="17">
        <v>12268</v>
      </c>
      <c r="J18" s="17">
        <v>2</v>
      </c>
      <c r="K18" s="17">
        <v>1</v>
      </c>
    </row>
    <row r="19" spans="1:11" ht="15" customHeight="1" x14ac:dyDescent="0.3">
      <c r="A19" s="16" t="s">
        <v>121</v>
      </c>
      <c r="B19" s="16" t="s">
        <v>65</v>
      </c>
      <c r="C19" s="16" t="s">
        <v>97</v>
      </c>
      <c r="D19" s="18">
        <v>57.8</v>
      </c>
      <c r="E19" s="18">
        <v>54.3</v>
      </c>
      <c r="F19" s="17">
        <v>15</v>
      </c>
      <c r="G19" s="17">
        <v>10</v>
      </c>
      <c r="H19" s="17">
        <v>9</v>
      </c>
      <c r="I19" s="17">
        <v>19785</v>
      </c>
      <c r="J19" s="17">
        <v>2</v>
      </c>
      <c r="K19" s="17">
        <v>1</v>
      </c>
    </row>
    <row r="20" spans="1:11" ht="15" customHeight="1" x14ac:dyDescent="0.3">
      <c r="A20" s="16" t="s">
        <v>121</v>
      </c>
      <c r="B20" s="16" t="s">
        <v>67</v>
      </c>
      <c r="C20" s="16" t="s">
        <v>84</v>
      </c>
      <c r="D20" s="18">
        <v>423.8</v>
      </c>
      <c r="E20" s="18">
        <v>393</v>
      </c>
      <c r="F20" s="17">
        <v>73</v>
      </c>
      <c r="G20" s="17">
        <v>48</v>
      </c>
      <c r="H20" s="17">
        <v>46</v>
      </c>
      <c r="I20" s="17">
        <v>141409</v>
      </c>
      <c r="J20" s="17">
        <v>26</v>
      </c>
      <c r="K20" s="17">
        <v>25</v>
      </c>
    </row>
    <row r="21" spans="1:11" ht="15" customHeight="1" x14ac:dyDescent="0.3">
      <c r="A21" s="16" t="s">
        <v>121</v>
      </c>
      <c r="B21" s="16" t="s">
        <v>67</v>
      </c>
      <c r="C21" s="16" t="s">
        <v>86</v>
      </c>
      <c r="D21" s="18">
        <v>150.80000000000001</v>
      </c>
      <c r="E21" s="18">
        <v>162.4</v>
      </c>
      <c r="F21" s="17">
        <v>26</v>
      </c>
      <c r="G21" s="17">
        <v>17</v>
      </c>
      <c r="H21" s="17">
        <v>16</v>
      </c>
      <c r="I21" s="17">
        <v>54804</v>
      </c>
      <c r="J21" s="17">
        <v>9</v>
      </c>
      <c r="K21" s="17">
        <v>8</v>
      </c>
    </row>
    <row r="22" spans="1:11" ht="15" customHeight="1" x14ac:dyDescent="0.3">
      <c r="A22" s="16" t="s">
        <v>121</v>
      </c>
      <c r="B22" s="16" t="s">
        <v>67</v>
      </c>
      <c r="C22" s="16" t="s">
        <v>89</v>
      </c>
      <c r="D22" s="18">
        <v>262.60000000000002</v>
      </c>
      <c r="E22" s="18">
        <v>289.10000000000002</v>
      </c>
      <c r="F22" s="17">
        <v>45</v>
      </c>
      <c r="G22" s="17">
        <v>30</v>
      </c>
      <c r="H22" s="17">
        <v>29</v>
      </c>
      <c r="I22" s="17">
        <v>82668</v>
      </c>
      <c r="J22" s="17">
        <v>16</v>
      </c>
      <c r="K22" s="17">
        <v>15</v>
      </c>
    </row>
    <row r="23" spans="1:11" ht="15" customHeight="1" x14ac:dyDescent="0.3">
      <c r="A23" s="16" t="s">
        <v>121</v>
      </c>
      <c r="B23" s="16" t="s">
        <v>67</v>
      </c>
      <c r="C23" s="16" t="s">
        <v>90</v>
      </c>
      <c r="D23" s="18">
        <v>28.9</v>
      </c>
      <c r="E23" s="18">
        <v>32.4</v>
      </c>
      <c r="F23" s="17">
        <v>7</v>
      </c>
      <c r="G23" s="17">
        <v>5</v>
      </c>
      <c r="H23" s="17">
        <v>4</v>
      </c>
      <c r="I23" s="17">
        <v>10004</v>
      </c>
      <c r="J23" s="17">
        <v>2</v>
      </c>
      <c r="K23" s="17">
        <v>1</v>
      </c>
    </row>
    <row r="24" spans="1:11" ht="15" customHeight="1" x14ac:dyDescent="0.3">
      <c r="A24" s="16" t="s">
        <v>121</v>
      </c>
      <c r="B24" s="16" t="s">
        <v>67</v>
      </c>
      <c r="C24" s="16" t="s">
        <v>92</v>
      </c>
      <c r="D24" s="18">
        <v>45.9</v>
      </c>
      <c r="E24" s="18">
        <v>45.6</v>
      </c>
      <c r="F24" s="17">
        <v>12</v>
      </c>
      <c r="G24" s="17">
        <v>8</v>
      </c>
      <c r="H24" s="17">
        <v>7</v>
      </c>
      <c r="I24" s="17">
        <v>14958</v>
      </c>
      <c r="J24" s="17">
        <v>2</v>
      </c>
      <c r="K24" s="17">
        <v>1</v>
      </c>
    </row>
    <row r="25" spans="1:11" ht="15" customHeight="1" x14ac:dyDescent="0.3">
      <c r="A25" s="16" t="s">
        <v>121</v>
      </c>
      <c r="B25" s="16" t="s">
        <v>67</v>
      </c>
      <c r="C25" s="16" t="s">
        <v>95</v>
      </c>
      <c r="D25" s="18">
        <v>600.6</v>
      </c>
      <c r="E25" s="18">
        <v>667.6</v>
      </c>
      <c r="F25" s="17">
        <v>103</v>
      </c>
      <c r="G25" s="17">
        <v>69</v>
      </c>
      <c r="H25" s="17">
        <v>67</v>
      </c>
      <c r="I25" s="17">
        <v>231874</v>
      </c>
      <c r="J25" s="17">
        <v>36</v>
      </c>
      <c r="K25" s="17">
        <v>34</v>
      </c>
    </row>
    <row r="26" spans="1:11" ht="15" customHeight="1" x14ac:dyDescent="0.3">
      <c r="A26" s="16" t="s">
        <v>121</v>
      </c>
      <c r="B26" s="16" t="s">
        <v>67</v>
      </c>
      <c r="C26" s="16" t="s">
        <v>97</v>
      </c>
      <c r="D26" s="18">
        <v>223.6</v>
      </c>
      <c r="E26" s="18">
        <v>212.3</v>
      </c>
      <c r="F26" s="17">
        <v>38</v>
      </c>
      <c r="G26" s="17">
        <v>25</v>
      </c>
      <c r="H26" s="17">
        <v>24</v>
      </c>
      <c r="I26" s="17">
        <v>79285</v>
      </c>
      <c r="J26" s="17">
        <v>13</v>
      </c>
      <c r="K26" s="17">
        <v>12</v>
      </c>
    </row>
    <row r="27" spans="1:11" ht="15" customHeight="1" x14ac:dyDescent="0.3">
      <c r="A27" s="16" t="s">
        <v>121</v>
      </c>
      <c r="B27" s="16" t="s">
        <v>67</v>
      </c>
      <c r="C27" s="16" t="s">
        <v>92</v>
      </c>
      <c r="D27" s="18">
        <v>377</v>
      </c>
      <c r="E27" s="18">
        <v>385.7</v>
      </c>
      <c r="F27" s="17">
        <v>65</v>
      </c>
      <c r="G27" s="17">
        <v>43</v>
      </c>
      <c r="H27" s="17">
        <v>42</v>
      </c>
      <c r="I27" s="17">
        <v>132312</v>
      </c>
      <c r="J27" s="17">
        <v>23</v>
      </c>
      <c r="K27" s="17">
        <v>22</v>
      </c>
    </row>
    <row r="28" spans="1:11" ht="15" customHeight="1" x14ac:dyDescent="0.3">
      <c r="A28" s="16" t="s">
        <v>121</v>
      </c>
      <c r="B28" s="16" t="s">
        <v>67</v>
      </c>
      <c r="C28" s="16" t="s">
        <v>97</v>
      </c>
      <c r="D28" s="18">
        <v>44.2</v>
      </c>
      <c r="E28" s="18">
        <v>47.8</v>
      </c>
      <c r="F28" s="17">
        <v>11</v>
      </c>
      <c r="G28" s="17">
        <v>7</v>
      </c>
      <c r="H28" s="17">
        <v>6</v>
      </c>
      <c r="I28" s="17">
        <v>15684</v>
      </c>
      <c r="J28" s="17">
        <v>2</v>
      </c>
      <c r="K28" s="17">
        <v>1</v>
      </c>
    </row>
    <row r="29" spans="1:11" ht="15" customHeight="1" x14ac:dyDescent="0.3">
      <c r="A29" s="16" t="s">
        <v>121</v>
      </c>
      <c r="B29" s="16" t="s">
        <v>69</v>
      </c>
      <c r="C29" s="16" t="s">
        <v>84</v>
      </c>
      <c r="D29" s="18">
        <v>62.9</v>
      </c>
      <c r="E29" s="18">
        <v>59</v>
      </c>
      <c r="F29" s="17">
        <v>16</v>
      </c>
      <c r="G29" s="17">
        <v>11</v>
      </c>
      <c r="H29" s="17">
        <v>10</v>
      </c>
      <c r="I29" s="17">
        <v>18467</v>
      </c>
      <c r="J29" s="17">
        <v>2</v>
      </c>
      <c r="K29" s="17">
        <v>1</v>
      </c>
    </row>
    <row r="30" spans="1:11" ht="15" customHeight="1" x14ac:dyDescent="0.3">
      <c r="A30" s="16" t="s">
        <v>121</v>
      </c>
      <c r="B30" s="16" t="s">
        <v>71</v>
      </c>
      <c r="C30" s="16" t="s">
        <v>84</v>
      </c>
      <c r="D30" s="18">
        <v>179.4</v>
      </c>
      <c r="E30" s="18">
        <v>169.1</v>
      </c>
      <c r="F30" s="17">
        <v>31</v>
      </c>
      <c r="G30" s="17">
        <v>20</v>
      </c>
      <c r="H30" s="17">
        <v>19</v>
      </c>
      <c r="I30" s="17">
        <v>52649</v>
      </c>
      <c r="J30" s="17">
        <v>11</v>
      </c>
      <c r="K30" s="17">
        <v>10</v>
      </c>
    </row>
    <row r="31" spans="1:11" ht="15" customHeight="1" x14ac:dyDescent="0.3">
      <c r="A31" s="16" t="s">
        <v>121</v>
      </c>
      <c r="B31" s="16" t="s">
        <v>71</v>
      </c>
      <c r="C31" s="16" t="s">
        <v>86</v>
      </c>
      <c r="D31" s="18">
        <v>423.8</v>
      </c>
      <c r="E31" s="18">
        <v>462.3</v>
      </c>
      <c r="F31" s="17">
        <v>73</v>
      </c>
      <c r="G31" s="17">
        <v>48</v>
      </c>
      <c r="H31" s="17">
        <v>47</v>
      </c>
      <c r="I31" s="17">
        <v>137956</v>
      </c>
      <c r="J31" s="17">
        <v>26</v>
      </c>
      <c r="K31" s="17">
        <v>24</v>
      </c>
    </row>
    <row r="32" spans="1:11" ht="15" customHeight="1" x14ac:dyDescent="0.3">
      <c r="A32" s="16" t="s">
        <v>121</v>
      </c>
      <c r="B32" s="16" t="s">
        <v>71</v>
      </c>
      <c r="C32" s="16" t="s">
        <v>89</v>
      </c>
      <c r="D32" s="18">
        <v>47.6</v>
      </c>
      <c r="E32" s="18">
        <v>43.9</v>
      </c>
      <c r="F32" s="17">
        <v>12</v>
      </c>
      <c r="G32" s="17">
        <v>8</v>
      </c>
      <c r="H32" s="17">
        <v>7</v>
      </c>
      <c r="I32" s="17">
        <v>11679</v>
      </c>
      <c r="J32" s="17">
        <v>2</v>
      </c>
      <c r="K32" s="17">
        <v>1</v>
      </c>
    </row>
    <row r="33" spans="1:11" ht="15" customHeight="1" x14ac:dyDescent="0.3">
      <c r="A33" s="16" t="s">
        <v>121</v>
      </c>
      <c r="B33" s="16" t="s">
        <v>71</v>
      </c>
      <c r="C33" s="16" t="s">
        <v>90</v>
      </c>
      <c r="D33" s="18">
        <v>69.7</v>
      </c>
      <c r="E33" s="18">
        <v>70.400000000000006</v>
      </c>
      <c r="F33" s="17">
        <v>18</v>
      </c>
      <c r="G33" s="17">
        <v>12</v>
      </c>
      <c r="H33" s="17">
        <v>11</v>
      </c>
      <c r="I33" s="17">
        <v>27945</v>
      </c>
      <c r="J33" s="17">
        <v>2</v>
      </c>
      <c r="K33" s="17">
        <v>1</v>
      </c>
    </row>
    <row r="34" spans="1:11" ht="15" customHeight="1" x14ac:dyDescent="0.3">
      <c r="A34" s="16" t="s">
        <v>121</v>
      </c>
      <c r="B34" s="16" t="s">
        <v>71</v>
      </c>
      <c r="C34" s="16" t="s">
        <v>92</v>
      </c>
      <c r="D34" s="18">
        <v>20.399999999999999</v>
      </c>
      <c r="E34" s="18">
        <v>21.7</v>
      </c>
      <c r="F34" s="17">
        <v>5</v>
      </c>
      <c r="G34" s="17">
        <v>3</v>
      </c>
      <c r="H34" s="17">
        <v>2</v>
      </c>
      <c r="I34" s="17">
        <v>7423</v>
      </c>
      <c r="J34" s="17">
        <v>2</v>
      </c>
      <c r="K34" s="17">
        <v>1</v>
      </c>
    </row>
    <row r="35" spans="1:11" ht="15" customHeight="1" x14ac:dyDescent="0.3">
      <c r="A35" s="16" t="s">
        <v>121</v>
      </c>
      <c r="B35" s="16" t="s">
        <v>71</v>
      </c>
      <c r="C35" s="16" t="s">
        <v>95</v>
      </c>
      <c r="D35" s="18">
        <v>161.5</v>
      </c>
      <c r="E35" s="18">
        <v>166.8</v>
      </c>
      <c r="F35" s="17">
        <v>42</v>
      </c>
      <c r="G35" s="17">
        <v>28</v>
      </c>
      <c r="H35" s="17">
        <v>27</v>
      </c>
      <c r="I35" s="17">
        <v>66614</v>
      </c>
      <c r="J35" s="17">
        <v>6</v>
      </c>
      <c r="K35" s="17">
        <v>5</v>
      </c>
    </row>
    <row r="36" spans="1:11" ht="15" customHeight="1" x14ac:dyDescent="0.3">
      <c r="A36" s="16" t="s">
        <v>121</v>
      </c>
      <c r="B36" s="16" t="s">
        <v>71</v>
      </c>
      <c r="C36" s="16" t="s">
        <v>97</v>
      </c>
      <c r="D36" s="18">
        <v>657.8</v>
      </c>
      <c r="E36" s="18">
        <v>626.20000000000005</v>
      </c>
      <c r="F36" s="17">
        <v>113</v>
      </c>
      <c r="G36" s="17">
        <v>75</v>
      </c>
      <c r="H36" s="17">
        <v>70</v>
      </c>
      <c r="I36" s="17">
        <v>257110</v>
      </c>
      <c r="J36" s="17">
        <v>40</v>
      </c>
      <c r="K36" s="17">
        <v>37</v>
      </c>
    </row>
    <row r="37" spans="1:11" ht="15" customHeight="1" x14ac:dyDescent="0.3">
      <c r="A37" s="16" t="s">
        <v>121</v>
      </c>
      <c r="B37" s="16" t="s">
        <v>71</v>
      </c>
      <c r="C37" s="16" t="s">
        <v>92</v>
      </c>
      <c r="D37" s="18">
        <v>247</v>
      </c>
      <c r="E37" s="18">
        <v>227.3</v>
      </c>
      <c r="F37" s="17">
        <v>42</v>
      </c>
      <c r="G37" s="17">
        <v>28</v>
      </c>
      <c r="H37" s="17">
        <v>26</v>
      </c>
      <c r="I37" s="17">
        <v>85512</v>
      </c>
      <c r="J37" s="17">
        <v>15</v>
      </c>
      <c r="K37" s="17">
        <v>13</v>
      </c>
    </row>
    <row r="38" spans="1:11" ht="15" customHeight="1" x14ac:dyDescent="0.3">
      <c r="A38" s="16" t="s">
        <v>121</v>
      </c>
      <c r="B38" s="16" t="s">
        <v>71</v>
      </c>
      <c r="C38" s="16" t="s">
        <v>97</v>
      </c>
      <c r="D38" s="18">
        <v>436.8</v>
      </c>
      <c r="E38" s="18">
        <v>458.4</v>
      </c>
      <c r="F38" s="17">
        <v>75</v>
      </c>
      <c r="G38" s="17">
        <v>50</v>
      </c>
      <c r="H38" s="17">
        <v>48</v>
      </c>
      <c r="I38" s="17">
        <v>189646</v>
      </c>
      <c r="J38" s="17">
        <v>26</v>
      </c>
      <c r="K38" s="17">
        <v>23</v>
      </c>
    </row>
    <row r="39" spans="1:11" ht="15" customHeight="1" x14ac:dyDescent="0.3">
      <c r="A39" s="16" t="s">
        <v>121</v>
      </c>
      <c r="B39" s="16" t="s">
        <v>73</v>
      </c>
      <c r="C39" s="16" t="s">
        <v>89</v>
      </c>
      <c r="D39" s="18">
        <v>47.6</v>
      </c>
      <c r="E39" s="18">
        <v>49.3</v>
      </c>
      <c r="F39" s="17">
        <v>12</v>
      </c>
      <c r="G39" s="17">
        <v>8</v>
      </c>
      <c r="H39" s="17">
        <v>7</v>
      </c>
      <c r="I39" s="17">
        <v>20543</v>
      </c>
      <c r="J39" s="17">
        <v>2</v>
      </c>
      <c r="K39" s="17">
        <v>1</v>
      </c>
    </row>
    <row r="40" spans="1:11" ht="15" customHeight="1" x14ac:dyDescent="0.3">
      <c r="A40" s="16" t="s">
        <v>121</v>
      </c>
      <c r="B40" s="16" t="s">
        <v>77</v>
      </c>
      <c r="C40" s="16" t="s">
        <v>97</v>
      </c>
      <c r="D40" s="18">
        <v>73.099999999999994</v>
      </c>
      <c r="E40" s="18">
        <v>69.599999999999994</v>
      </c>
      <c r="F40" s="17">
        <v>19</v>
      </c>
      <c r="G40" s="17">
        <v>12</v>
      </c>
      <c r="H40" s="17">
        <v>11</v>
      </c>
      <c r="I40" s="17">
        <v>19104</v>
      </c>
      <c r="J40" s="17">
        <v>3</v>
      </c>
      <c r="K40" s="17">
        <v>2</v>
      </c>
    </row>
    <row r="41" spans="1:11" ht="15" customHeight="1" x14ac:dyDescent="0.3">
      <c r="A41" s="16" t="s">
        <v>204</v>
      </c>
      <c r="B41" s="16" t="s">
        <v>57</v>
      </c>
      <c r="C41" s="16" t="s">
        <v>84</v>
      </c>
      <c r="D41" s="18">
        <v>1289.5999999999999</v>
      </c>
      <c r="E41" s="18">
        <v>1219</v>
      </c>
      <c r="F41" s="17">
        <v>223</v>
      </c>
      <c r="G41" s="17">
        <v>148</v>
      </c>
      <c r="H41" s="17">
        <v>147</v>
      </c>
      <c r="I41" s="17">
        <v>413722</v>
      </c>
      <c r="J41" s="17">
        <v>79</v>
      </c>
      <c r="K41" s="17">
        <v>77</v>
      </c>
    </row>
    <row r="42" spans="1:11" ht="15" customHeight="1" x14ac:dyDescent="0.3">
      <c r="A42" s="16" t="s">
        <v>204</v>
      </c>
      <c r="B42" s="16" t="s">
        <v>57</v>
      </c>
      <c r="C42" s="16" t="s">
        <v>86</v>
      </c>
      <c r="D42" s="18">
        <v>486.2</v>
      </c>
      <c r="E42" s="18">
        <v>451.1</v>
      </c>
      <c r="F42" s="17">
        <v>84</v>
      </c>
      <c r="G42" s="17">
        <v>56</v>
      </c>
      <c r="H42" s="17">
        <v>55</v>
      </c>
      <c r="I42" s="17">
        <v>156059</v>
      </c>
      <c r="J42" s="17">
        <v>29</v>
      </c>
      <c r="K42" s="17">
        <v>28</v>
      </c>
    </row>
    <row r="43" spans="1:11" ht="15" customHeight="1" x14ac:dyDescent="0.3">
      <c r="A43" s="16" t="s">
        <v>204</v>
      </c>
      <c r="B43" s="16" t="s">
        <v>57</v>
      </c>
      <c r="C43" s="16" t="s">
        <v>89</v>
      </c>
      <c r="D43" s="18">
        <v>56.1</v>
      </c>
      <c r="E43" s="18">
        <v>55.8</v>
      </c>
      <c r="F43" s="17">
        <v>14</v>
      </c>
      <c r="G43" s="17">
        <v>9</v>
      </c>
      <c r="H43" s="17">
        <v>8</v>
      </c>
      <c r="I43" s="17">
        <v>19204</v>
      </c>
      <c r="J43" s="17">
        <v>2</v>
      </c>
      <c r="K43" s="17">
        <v>1</v>
      </c>
    </row>
    <row r="44" spans="1:11" ht="15" customHeight="1" x14ac:dyDescent="0.3">
      <c r="A44" s="16" t="s">
        <v>204</v>
      </c>
      <c r="B44" s="16" t="s">
        <v>57</v>
      </c>
      <c r="C44" s="16" t="s">
        <v>90</v>
      </c>
      <c r="D44" s="18">
        <v>81.599999999999994</v>
      </c>
      <c r="E44" s="18">
        <v>84.3</v>
      </c>
      <c r="F44" s="17">
        <v>21</v>
      </c>
      <c r="G44" s="17">
        <v>14</v>
      </c>
      <c r="H44" s="17">
        <v>13</v>
      </c>
      <c r="I44" s="17">
        <v>28096</v>
      </c>
      <c r="J44" s="17">
        <v>3</v>
      </c>
      <c r="K44" s="17">
        <v>2</v>
      </c>
    </row>
    <row r="45" spans="1:11" ht="15" customHeight="1" x14ac:dyDescent="0.3">
      <c r="A45" s="16" t="s">
        <v>204</v>
      </c>
      <c r="B45" s="16" t="s">
        <v>57</v>
      </c>
      <c r="C45" s="16" t="s">
        <v>92</v>
      </c>
      <c r="D45" s="18">
        <v>1167.4000000000001</v>
      </c>
      <c r="E45" s="18">
        <v>1211.8</v>
      </c>
      <c r="F45" s="17">
        <v>202</v>
      </c>
      <c r="G45" s="17">
        <v>134</v>
      </c>
      <c r="H45" s="17">
        <v>131</v>
      </c>
      <c r="I45" s="17">
        <v>320231</v>
      </c>
      <c r="J45" s="17">
        <v>71</v>
      </c>
      <c r="K45" s="17">
        <v>68</v>
      </c>
    </row>
    <row r="46" spans="1:11" ht="15" customHeight="1" x14ac:dyDescent="0.3">
      <c r="A46" s="16" t="s">
        <v>204</v>
      </c>
      <c r="B46" s="16" t="s">
        <v>57</v>
      </c>
      <c r="C46" s="16" t="s">
        <v>95</v>
      </c>
      <c r="D46" s="18">
        <v>455</v>
      </c>
      <c r="E46" s="18">
        <v>505.5</v>
      </c>
      <c r="F46" s="17">
        <v>78</v>
      </c>
      <c r="G46" s="17">
        <v>52</v>
      </c>
      <c r="H46" s="17">
        <v>51</v>
      </c>
      <c r="I46" s="17">
        <v>171696</v>
      </c>
      <c r="J46" s="17">
        <v>28</v>
      </c>
      <c r="K46" s="17">
        <v>26</v>
      </c>
    </row>
    <row r="47" spans="1:11" ht="15" customHeight="1" x14ac:dyDescent="0.3">
      <c r="A47" s="16" t="s">
        <v>204</v>
      </c>
      <c r="B47" s="16" t="s">
        <v>57</v>
      </c>
      <c r="C47" s="16" t="s">
        <v>97</v>
      </c>
      <c r="D47" s="18">
        <v>51</v>
      </c>
      <c r="E47" s="18">
        <v>50</v>
      </c>
      <c r="F47" s="17">
        <v>13</v>
      </c>
      <c r="G47" s="17">
        <v>9</v>
      </c>
      <c r="H47" s="17">
        <v>8</v>
      </c>
      <c r="I47" s="17">
        <v>16544</v>
      </c>
      <c r="J47" s="17">
        <v>2</v>
      </c>
      <c r="K47" s="17">
        <v>1</v>
      </c>
    </row>
    <row r="48" spans="1:11" ht="15" customHeight="1" x14ac:dyDescent="0.3">
      <c r="A48" s="16" t="s">
        <v>204</v>
      </c>
      <c r="B48" s="16" t="s">
        <v>57</v>
      </c>
      <c r="C48" s="16" t="s">
        <v>92</v>
      </c>
      <c r="D48" s="18">
        <v>74.8</v>
      </c>
      <c r="E48" s="18">
        <v>68.7</v>
      </c>
      <c r="F48" s="17">
        <v>19</v>
      </c>
      <c r="G48" s="17">
        <v>13</v>
      </c>
      <c r="H48" s="17">
        <v>12</v>
      </c>
      <c r="I48" s="17">
        <v>26295</v>
      </c>
      <c r="J48" s="17">
        <v>3</v>
      </c>
      <c r="K48" s="17">
        <v>2</v>
      </c>
    </row>
    <row r="49" spans="1:11" ht="15" customHeight="1" x14ac:dyDescent="0.3">
      <c r="A49" s="16" t="s">
        <v>204</v>
      </c>
      <c r="B49" s="16" t="s">
        <v>57</v>
      </c>
      <c r="C49" s="16" t="s">
        <v>97</v>
      </c>
      <c r="D49" s="18">
        <v>548.6</v>
      </c>
      <c r="E49" s="18">
        <v>553.5</v>
      </c>
      <c r="F49" s="17">
        <v>94</v>
      </c>
      <c r="G49" s="17">
        <v>63</v>
      </c>
      <c r="H49" s="17">
        <v>62</v>
      </c>
      <c r="I49" s="17">
        <v>180055</v>
      </c>
      <c r="J49" s="17">
        <v>33</v>
      </c>
      <c r="K49" s="17">
        <v>32</v>
      </c>
    </row>
    <row r="50" spans="1:11" ht="15" customHeight="1" x14ac:dyDescent="0.3">
      <c r="A50" s="16" t="s">
        <v>204</v>
      </c>
      <c r="B50" s="16" t="s">
        <v>65</v>
      </c>
      <c r="C50" s="16" t="s">
        <v>84</v>
      </c>
      <c r="D50" s="18">
        <v>197.6</v>
      </c>
      <c r="E50" s="18">
        <v>199.4</v>
      </c>
      <c r="F50" s="17">
        <v>34</v>
      </c>
      <c r="G50" s="17">
        <v>22</v>
      </c>
      <c r="H50" s="17">
        <v>21</v>
      </c>
      <c r="I50" s="17">
        <v>56589</v>
      </c>
      <c r="J50" s="17">
        <v>12</v>
      </c>
      <c r="K50" s="17">
        <v>11</v>
      </c>
    </row>
    <row r="51" spans="1:11" ht="15" customHeight="1" x14ac:dyDescent="0.3">
      <c r="A51" s="16" t="s">
        <v>204</v>
      </c>
      <c r="B51" s="16" t="s">
        <v>65</v>
      </c>
      <c r="C51" s="16" t="s">
        <v>86</v>
      </c>
      <c r="D51" s="18">
        <v>338</v>
      </c>
      <c r="E51" s="18">
        <v>328</v>
      </c>
      <c r="F51" s="17">
        <v>58</v>
      </c>
      <c r="G51" s="17">
        <v>39</v>
      </c>
      <c r="H51" s="17">
        <v>38</v>
      </c>
      <c r="I51" s="17">
        <v>85300</v>
      </c>
      <c r="J51" s="17">
        <v>20</v>
      </c>
      <c r="K51" s="17">
        <v>19</v>
      </c>
    </row>
    <row r="52" spans="1:11" ht="15" customHeight="1" x14ac:dyDescent="0.3">
      <c r="A52" s="16" t="s">
        <v>204</v>
      </c>
      <c r="B52" s="16" t="s">
        <v>65</v>
      </c>
      <c r="C52" s="16" t="s">
        <v>89</v>
      </c>
      <c r="D52" s="18">
        <v>39.1</v>
      </c>
      <c r="E52" s="18">
        <v>40.6</v>
      </c>
      <c r="F52" s="17">
        <v>10</v>
      </c>
      <c r="G52" s="17">
        <v>6</v>
      </c>
      <c r="H52" s="17">
        <v>5</v>
      </c>
      <c r="I52" s="17">
        <v>14851</v>
      </c>
      <c r="J52" s="17">
        <v>2</v>
      </c>
      <c r="K52" s="17">
        <v>1</v>
      </c>
    </row>
    <row r="53" spans="1:11" ht="15" customHeight="1" x14ac:dyDescent="0.3">
      <c r="A53" s="16" t="s">
        <v>204</v>
      </c>
      <c r="B53" s="16" t="s">
        <v>65</v>
      </c>
      <c r="C53" s="16" t="s">
        <v>90</v>
      </c>
      <c r="D53" s="18">
        <v>59.5</v>
      </c>
      <c r="E53" s="18">
        <v>62.4</v>
      </c>
      <c r="F53" s="17">
        <v>15</v>
      </c>
      <c r="G53" s="17">
        <v>10</v>
      </c>
      <c r="H53" s="17">
        <v>9</v>
      </c>
      <c r="I53" s="17">
        <v>22130</v>
      </c>
      <c r="J53" s="17">
        <v>2</v>
      </c>
      <c r="K53" s="17">
        <v>1</v>
      </c>
    </row>
    <row r="54" spans="1:11" ht="15" customHeight="1" x14ac:dyDescent="0.3">
      <c r="A54" s="16" t="s">
        <v>204</v>
      </c>
      <c r="B54" s="16" t="s">
        <v>65</v>
      </c>
      <c r="C54" s="16" t="s">
        <v>92</v>
      </c>
      <c r="D54" s="18">
        <v>410.8</v>
      </c>
      <c r="E54" s="18">
        <v>418.9</v>
      </c>
      <c r="F54" s="17">
        <v>71</v>
      </c>
      <c r="G54" s="17">
        <v>47</v>
      </c>
      <c r="H54" s="17">
        <v>45</v>
      </c>
      <c r="I54" s="17">
        <v>156397</v>
      </c>
      <c r="J54" s="17">
        <v>25</v>
      </c>
      <c r="K54" s="17">
        <v>24</v>
      </c>
    </row>
    <row r="55" spans="1:11" ht="15" customHeight="1" x14ac:dyDescent="0.3">
      <c r="A55" s="16" t="s">
        <v>204</v>
      </c>
      <c r="B55" s="16" t="s">
        <v>65</v>
      </c>
      <c r="C55" s="16" t="s">
        <v>95</v>
      </c>
      <c r="D55" s="18">
        <v>156</v>
      </c>
      <c r="E55" s="18">
        <v>145.5</v>
      </c>
      <c r="F55" s="17">
        <v>27</v>
      </c>
      <c r="G55" s="17">
        <v>18</v>
      </c>
      <c r="H55" s="17">
        <v>17</v>
      </c>
      <c r="I55" s="17">
        <v>53006</v>
      </c>
      <c r="J55" s="17">
        <v>9</v>
      </c>
      <c r="K55" s="17">
        <v>8</v>
      </c>
    </row>
    <row r="56" spans="1:11" ht="15" customHeight="1" x14ac:dyDescent="0.3">
      <c r="A56" s="16" t="s">
        <v>204</v>
      </c>
      <c r="B56" s="16" t="s">
        <v>65</v>
      </c>
      <c r="C56" s="16" t="s">
        <v>97</v>
      </c>
      <c r="D56" s="18">
        <v>262.60000000000002</v>
      </c>
      <c r="E56" s="18">
        <v>293.8</v>
      </c>
      <c r="F56" s="17">
        <v>45</v>
      </c>
      <c r="G56" s="17">
        <v>30</v>
      </c>
      <c r="H56" s="17">
        <v>28</v>
      </c>
      <c r="I56" s="17">
        <v>118371</v>
      </c>
      <c r="J56" s="17">
        <v>16</v>
      </c>
      <c r="K56" s="17">
        <v>15</v>
      </c>
    </row>
    <row r="57" spans="1:11" ht="15" customHeight="1" x14ac:dyDescent="0.3">
      <c r="A57" s="16" t="s">
        <v>204</v>
      </c>
      <c r="B57" s="16" t="s">
        <v>65</v>
      </c>
      <c r="C57" s="16" t="s">
        <v>92</v>
      </c>
      <c r="D57" s="18">
        <v>30.6</v>
      </c>
      <c r="E57" s="18">
        <v>30.5</v>
      </c>
      <c r="F57" s="17">
        <v>8</v>
      </c>
      <c r="G57" s="17">
        <v>5</v>
      </c>
      <c r="H57" s="17">
        <v>4</v>
      </c>
      <c r="I57" s="17">
        <v>11048</v>
      </c>
      <c r="J57" s="17">
        <v>2</v>
      </c>
      <c r="K57" s="17">
        <v>1</v>
      </c>
    </row>
    <row r="58" spans="1:11" ht="15" customHeight="1" x14ac:dyDescent="0.3">
      <c r="A58" s="16" t="s">
        <v>204</v>
      </c>
      <c r="B58" s="16" t="s">
        <v>65</v>
      </c>
      <c r="C58" s="16" t="s">
        <v>97</v>
      </c>
      <c r="D58" s="18">
        <v>44.2</v>
      </c>
      <c r="E58" s="18">
        <v>47.5</v>
      </c>
      <c r="F58" s="17">
        <v>11</v>
      </c>
      <c r="G58" s="17">
        <v>7</v>
      </c>
      <c r="H58" s="17">
        <v>6</v>
      </c>
      <c r="I58" s="17">
        <v>19262</v>
      </c>
      <c r="J58" s="17">
        <v>2</v>
      </c>
      <c r="K58" s="17">
        <v>1</v>
      </c>
    </row>
    <row r="59" spans="1:11" ht="15" customHeight="1" x14ac:dyDescent="0.3">
      <c r="A59" s="16" t="s">
        <v>204</v>
      </c>
      <c r="B59" s="16" t="s">
        <v>67</v>
      </c>
      <c r="C59" s="16" t="s">
        <v>84</v>
      </c>
      <c r="D59" s="18">
        <v>605.79999999999995</v>
      </c>
      <c r="E59" s="18">
        <v>676.7</v>
      </c>
      <c r="F59" s="17">
        <v>104</v>
      </c>
      <c r="G59" s="17">
        <v>69</v>
      </c>
      <c r="H59" s="17">
        <v>68</v>
      </c>
      <c r="I59" s="17">
        <v>266467</v>
      </c>
      <c r="J59" s="17">
        <v>37</v>
      </c>
      <c r="K59" s="17">
        <v>36</v>
      </c>
    </row>
    <row r="60" spans="1:11" ht="15" customHeight="1" x14ac:dyDescent="0.3">
      <c r="A60" s="16" t="s">
        <v>204</v>
      </c>
      <c r="B60" s="16" t="s">
        <v>67</v>
      </c>
      <c r="C60" s="16" t="s">
        <v>86</v>
      </c>
      <c r="D60" s="18">
        <v>221</v>
      </c>
      <c r="E60" s="18">
        <v>206.8</v>
      </c>
      <c r="F60" s="17">
        <v>38</v>
      </c>
      <c r="G60" s="17">
        <v>25</v>
      </c>
      <c r="H60" s="17">
        <v>24</v>
      </c>
      <c r="I60" s="17">
        <v>73779</v>
      </c>
      <c r="J60" s="17">
        <v>13</v>
      </c>
      <c r="K60" s="17">
        <v>12</v>
      </c>
    </row>
    <row r="61" spans="1:11" ht="15" customHeight="1" x14ac:dyDescent="0.3">
      <c r="A61" s="16" t="s">
        <v>204</v>
      </c>
      <c r="B61" s="16" t="s">
        <v>67</v>
      </c>
      <c r="C61" s="16" t="s">
        <v>89</v>
      </c>
      <c r="D61" s="18">
        <v>400.4</v>
      </c>
      <c r="E61" s="18">
        <v>417.4</v>
      </c>
      <c r="F61" s="17">
        <v>69</v>
      </c>
      <c r="G61" s="17">
        <v>46</v>
      </c>
      <c r="H61" s="17">
        <v>45</v>
      </c>
      <c r="I61" s="17">
        <v>172336</v>
      </c>
      <c r="J61" s="17">
        <v>24</v>
      </c>
      <c r="K61" s="17">
        <v>23</v>
      </c>
    </row>
    <row r="62" spans="1:11" ht="15" customHeight="1" x14ac:dyDescent="0.3">
      <c r="A62" s="16" t="s">
        <v>204</v>
      </c>
      <c r="B62" s="16" t="s">
        <v>67</v>
      </c>
      <c r="C62" s="16" t="s">
        <v>90</v>
      </c>
      <c r="D62" s="18">
        <v>42.5</v>
      </c>
      <c r="E62" s="18">
        <v>46.3</v>
      </c>
      <c r="F62" s="17">
        <v>11</v>
      </c>
      <c r="G62" s="17">
        <v>7</v>
      </c>
      <c r="H62" s="17">
        <v>6</v>
      </c>
      <c r="I62" s="17">
        <v>13219</v>
      </c>
      <c r="J62" s="17">
        <v>2</v>
      </c>
      <c r="K62" s="17">
        <v>1</v>
      </c>
    </row>
    <row r="63" spans="1:11" ht="15" customHeight="1" x14ac:dyDescent="0.3">
      <c r="A63" s="16" t="s">
        <v>204</v>
      </c>
      <c r="B63" s="16" t="s">
        <v>67</v>
      </c>
      <c r="C63" s="16" t="s">
        <v>92</v>
      </c>
      <c r="D63" s="18">
        <v>62.9</v>
      </c>
      <c r="E63" s="18">
        <v>68.400000000000006</v>
      </c>
      <c r="F63" s="17">
        <v>16</v>
      </c>
      <c r="G63" s="17">
        <v>11</v>
      </c>
      <c r="H63" s="17">
        <v>10</v>
      </c>
      <c r="I63" s="17">
        <v>21105</v>
      </c>
      <c r="J63" s="17">
        <v>2</v>
      </c>
      <c r="K63" s="17">
        <v>1</v>
      </c>
    </row>
    <row r="64" spans="1:11" ht="15" customHeight="1" x14ac:dyDescent="0.3">
      <c r="A64" s="16" t="s">
        <v>204</v>
      </c>
      <c r="B64" s="16" t="s">
        <v>67</v>
      </c>
      <c r="C64" s="16" t="s">
        <v>95</v>
      </c>
      <c r="D64" s="18">
        <v>187.2</v>
      </c>
      <c r="E64" s="18">
        <v>190.7</v>
      </c>
      <c r="F64" s="17">
        <v>32</v>
      </c>
      <c r="G64" s="17">
        <v>21</v>
      </c>
      <c r="H64" s="17">
        <v>20</v>
      </c>
      <c r="I64" s="17">
        <v>77447</v>
      </c>
      <c r="J64" s="17">
        <v>11</v>
      </c>
      <c r="K64" s="17">
        <v>10</v>
      </c>
    </row>
    <row r="65" spans="1:11" ht="15" customHeight="1" x14ac:dyDescent="0.3">
      <c r="A65" s="16" t="s">
        <v>204</v>
      </c>
      <c r="B65" s="16" t="s">
        <v>67</v>
      </c>
      <c r="C65" s="16" t="s">
        <v>97</v>
      </c>
      <c r="D65" s="18">
        <v>431.6</v>
      </c>
      <c r="E65" s="18">
        <v>420.4</v>
      </c>
      <c r="F65" s="17">
        <v>74</v>
      </c>
      <c r="G65" s="17">
        <v>49</v>
      </c>
      <c r="H65" s="17">
        <v>48</v>
      </c>
      <c r="I65" s="17">
        <v>153290</v>
      </c>
      <c r="J65" s="17">
        <v>26</v>
      </c>
      <c r="K65" s="17">
        <v>25</v>
      </c>
    </row>
    <row r="66" spans="1:11" ht="15" customHeight="1" x14ac:dyDescent="0.3">
      <c r="A66" s="16" t="s">
        <v>204</v>
      </c>
      <c r="B66" s="16" t="s">
        <v>67</v>
      </c>
      <c r="C66" s="16" t="s">
        <v>92</v>
      </c>
      <c r="D66" s="18">
        <v>47.6</v>
      </c>
      <c r="E66" s="18">
        <v>47.7</v>
      </c>
      <c r="F66" s="17">
        <v>12</v>
      </c>
      <c r="G66" s="17">
        <v>8</v>
      </c>
      <c r="H66" s="17">
        <v>7</v>
      </c>
      <c r="I66" s="17">
        <v>16972</v>
      </c>
      <c r="J66" s="17">
        <v>2</v>
      </c>
      <c r="K66" s="17">
        <v>1</v>
      </c>
    </row>
    <row r="67" spans="1:11" ht="15" customHeight="1" x14ac:dyDescent="0.3">
      <c r="A67" s="16" t="s">
        <v>204</v>
      </c>
      <c r="B67" s="16" t="s">
        <v>67</v>
      </c>
      <c r="C67" s="16" t="s">
        <v>97</v>
      </c>
      <c r="D67" s="18">
        <v>71.400000000000006</v>
      </c>
      <c r="E67" s="18">
        <v>76.400000000000006</v>
      </c>
      <c r="F67" s="17">
        <v>18</v>
      </c>
      <c r="G67" s="17">
        <v>12</v>
      </c>
      <c r="H67" s="17">
        <v>11</v>
      </c>
      <c r="I67" s="17">
        <v>30525</v>
      </c>
      <c r="J67" s="17">
        <v>2</v>
      </c>
      <c r="K67" s="17">
        <v>1</v>
      </c>
    </row>
    <row r="68" spans="1:11" ht="15" customHeight="1" x14ac:dyDescent="0.3">
      <c r="A68" s="16" t="s">
        <v>204</v>
      </c>
      <c r="B68" s="16" t="s">
        <v>69</v>
      </c>
      <c r="C68" s="16" t="s">
        <v>84</v>
      </c>
      <c r="D68" s="18">
        <v>20.399999999999999</v>
      </c>
      <c r="E68" s="18">
        <v>19</v>
      </c>
      <c r="F68" s="17">
        <v>5</v>
      </c>
      <c r="G68" s="17">
        <v>3</v>
      </c>
      <c r="H68" s="17">
        <v>2</v>
      </c>
      <c r="I68" s="17">
        <v>5568</v>
      </c>
      <c r="J68" s="17">
        <v>2</v>
      </c>
      <c r="K68" s="17">
        <v>1</v>
      </c>
    </row>
    <row r="69" spans="1:11" ht="15" customHeight="1" x14ac:dyDescent="0.3">
      <c r="A69" s="16" t="s">
        <v>204</v>
      </c>
      <c r="B69" s="16" t="s">
        <v>71</v>
      </c>
      <c r="C69" s="16" t="s">
        <v>84</v>
      </c>
      <c r="D69" s="18">
        <v>164.9</v>
      </c>
      <c r="E69" s="18">
        <v>158.30000000000001</v>
      </c>
      <c r="F69" s="17">
        <v>43</v>
      </c>
      <c r="G69" s="17">
        <v>29</v>
      </c>
      <c r="H69" s="17">
        <v>28</v>
      </c>
      <c r="I69" s="17">
        <v>41871</v>
      </c>
      <c r="J69" s="17">
        <v>6</v>
      </c>
      <c r="K69" s="17">
        <v>5</v>
      </c>
    </row>
    <row r="70" spans="1:11" ht="15" customHeight="1" x14ac:dyDescent="0.3">
      <c r="A70" s="16" t="s">
        <v>204</v>
      </c>
      <c r="B70" s="16" t="s">
        <v>71</v>
      </c>
      <c r="C70" s="16" t="s">
        <v>86</v>
      </c>
      <c r="D70" s="18">
        <v>676</v>
      </c>
      <c r="E70" s="18">
        <v>633.4</v>
      </c>
      <c r="F70" s="17">
        <v>117</v>
      </c>
      <c r="G70" s="17">
        <v>78</v>
      </c>
      <c r="H70" s="17">
        <v>72</v>
      </c>
      <c r="I70" s="17">
        <v>173052</v>
      </c>
      <c r="J70" s="17">
        <v>41</v>
      </c>
      <c r="K70" s="17">
        <v>37</v>
      </c>
    </row>
    <row r="71" spans="1:11" ht="15" customHeight="1" x14ac:dyDescent="0.3">
      <c r="A71" s="16" t="s">
        <v>204</v>
      </c>
      <c r="B71" s="16" t="s">
        <v>71</v>
      </c>
      <c r="C71" s="16" t="s">
        <v>89</v>
      </c>
      <c r="D71" s="18">
        <v>244.4</v>
      </c>
      <c r="E71" s="18">
        <v>257.3</v>
      </c>
      <c r="F71" s="17">
        <v>42</v>
      </c>
      <c r="G71" s="17">
        <v>28</v>
      </c>
      <c r="H71" s="17">
        <v>26</v>
      </c>
      <c r="I71" s="17">
        <v>72048</v>
      </c>
      <c r="J71" s="17">
        <v>15</v>
      </c>
      <c r="K71" s="17">
        <v>13</v>
      </c>
    </row>
    <row r="72" spans="1:11" ht="15" customHeight="1" x14ac:dyDescent="0.3">
      <c r="A72" s="16" t="s">
        <v>204</v>
      </c>
      <c r="B72" s="16" t="s">
        <v>71</v>
      </c>
      <c r="C72" s="16" t="s">
        <v>90</v>
      </c>
      <c r="D72" s="18">
        <v>434.2</v>
      </c>
      <c r="E72" s="18">
        <v>428.4</v>
      </c>
      <c r="F72" s="17">
        <v>75</v>
      </c>
      <c r="G72" s="17">
        <v>50</v>
      </c>
      <c r="H72" s="17">
        <v>47</v>
      </c>
      <c r="I72" s="17">
        <v>176404</v>
      </c>
      <c r="J72" s="17">
        <v>26</v>
      </c>
      <c r="K72" s="17">
        <v>24</v>
      </c>
    </row>
    <row r="73" spans="1:11" ht="15" customHeight="1" x14ac:dyDescent="0.3">
      <c r="A73" s="16" t="s">
        <v>204</v>
      </c>
      <c r="B73" s="16" t="s">
        <v>71</v>
      </c>
      <c r="C73" s="16" t="s">
        <v>92</v>
      </c>
      <c r="D73" s="18">
        <v>49.3</v>
      </c>
      <c r="E73" s="18">
        <v>47.8</v>
      </c>
      <c r="F73" s="17">
        <v>13</v>
      </c>
      <c r="G73" s="17">
        <v>8</v>
      </c>
      <c r="H73" s="17">
        <v>7</v>
      </c>
      <c r="I73" s="17">
        <v>12599</v>
      </c>
      <c r="J73" s="17">
        <v>2</v>
      </c>
      <c r="K73" s="17">
        <v>1</v>
      </c>
    </row>
    <row r="74" spans="1:11" ht="15" customHeight="1" x14ac:dyDescent="0.3">
      <c r="A74" s="16" t="s">
        <v>204</v>
      </c>
      <c r="B74" s="16" t="s">
        <v>71</v>
      </c>
      <c r="C74" s="16" t="s">
        <v>95</v>
      </c>
      <c r="D74" s="18">
        <v>73.099999999999994</v>
      </c>
      <c r="E74" s="18">
        <v>71</v>
      </c>
      <c r="F74" s="17">
        <v>19</v>
      </c>
      <c r="G74" s="17">
        <v>12</v>
      </c>
      <c r="H74" s="17">
        <v>11</v>
      </c>
      <c r="I74" s="17">
        <v>25302</v>
      </c>
      <c r="J74" s="17">
        <v>3</v>
      </c>
      <c r="K74" s="17">
        <v>2</v>
      </c>
    </row>
    <row r="75" spans="1:11" ht="15" customHeight="1" x14ac:dyDescent="0.3">
      <c r="A75" s="16" t="s">
        <v>204</v>
      </c>
      <c r="B75" s="16" t="s">
        <v>71</v>
      </c>
      <c r="C75" s="16" t="s">
        <v>97</v>
      </c>
      <c r="D75" s="18">
        <v>1248</v>
      </c>
      <c r="E75" s="18">
        <v>1175.2</v>
      </c>
      <c r="F75" s="17">
        <v>216</v>
      </c>
      <c r="G75" s="17">
        <v>144</v>
      </c>
      <c r="H75" s="17">
        <v>142</v>
      </c>
      <c r="I75" s="17">
        <v>351233</v>
      </c>
      <c r="J75" s="17">
        <v>76</v>
      </c>
      <c r="K75" s="17">
        <v>72</v>
      </c>
    </row>
    <row r="76" spans="1:11" ht="15" customHeight="1" x14ac:dyDescent="0.3">
      <c r="A76" s="16" t="s">
        <v>204</v>
      </c>
      <c r="B76" s="16" t="s">
        <v>71</v>
      </c>
      <c r="C76" s="16" t="s">
        <v>92</v>
      </c>
      <c r="D76" s="18">
        <v>517.4</v>
      </c>
      <c r="E76" s="18">
        <v>555.4</v>
      </c>
      <c r="F76" s="17">
        <v>89</v>
      </c>
      <c r="G76" s="17">
        <v>59</v>
      </c>
      <c r="H76" s="17">
        <v>57</v>
      </c>
      <c r="I76" s="17">
        <v>231495</v>
      </c>
      <c r="J76" s="17">
        <v>31</v>
      </c>
      <c r="K76" s="17">
        <v>29</v>
      </c>
    </row>
    <row r="77" spans="1:11" ht="15" customHeight="1" x14ac:dyDescent="0.3">
      <c r="A77" s="16" t="s">
        <v>204</v>
      </c>
      <c r="B77" s="16" t="s">
        <v>71</v>
      </c>
      <c r="C77" s="16" t="s">
        <v>97</v>
      </c>
      <c r="D77" s="18">
        <v>54.4</v>
      </c>
      <c r="E77" s="18">
        <v>59.9</v>
      </c>
      <c r="F77" s="17">
        <v>14</v>
      </c>
      <c r="G77" s="17">
        <v>9</v>
      </c>
      <c r="H77" s="17">
        <v>8</v>
      </c>
      <c r="I77" s="17">
        <v>22500</v>
      </c>
      <c r="J77" s="17">
        <v>2</v>
      </c>
      <c r="K77" s="17">
        <v>1</v>
      </c>
    </row>
    <row r="78" spans="1:11" ht="15" customHeight="1" x14ac:dyDescent="0.3">
      <c r="A78" s="16" t="s">
        <v>204</v>
      </c>
      <c r="B78" s="16" t="s">
        <v>73</v>
      </c>
      <c r="C78" s="16" t="s">
        <v>89</v>
      </c>
      <c r="D78" s="18">
        <v>83.3</v>
      </c>
      <c r="E78" s="18">
        <v>84.2</v>
      </c>
      <c r="F78" s="17">
        <v>22</v>
      </c>
      <c r="G78" s="17">
        <v>14</v>
      </c>
      <c r="H78" s="17">
        <v>13</v>
      </c>
      <c r="I78" s="17">
        <v>22334</v>
      </c>
      <c r="J78" s="17">
        <v>3</v>
      </c>
      <c r="K78" s="17">
        <v>2</v>
      </c>
    </row>
    <row r="79" spans="1:11" ht="15" customHeight="1" x14ac:dyDescent="0.3">
      <c r="A79" s="16" t="s">
        <v>204</v>
      </c>
      <c r="B79" s="16" t="s">
        <v>77</v>
      </c>
      <c r="C79" s="16" t="s">
        <v>97</v>
      </c>
      <c r="D79" s="18">
        <v>1175.2</v>
      </c>
      <c r="E79" s="18">
        <v>1087.2</v>
      </c>
      <c r="F79" s="17">
        <v>203</v>
      </c>
      <c r="G79" s="17">
        <v>135</v>
      </c>
      <c r="H79" s="17">
        <v>131</v>
      </c>
      <c r="I79" s="17">
        <v>403608</v>
      </c>
      <c r="J79" s="17">
        <v>72</v>
      </c>
      <c r="K79" s="17">
        <v>68</v>
      </c>
    </row>
  </sheetData>
  <autoFilter ref="A1:K1" xr:uid="{00000000-0009-0000-0000-000007000000}"/>
  <dataValidations count="2">
    <dataValidation type="textLength" operator="equal" allowBlank="1" showErrorMessage="1" errorTitle="Periodo mal escrito" error="El periodo se escribe AAAA-MM, por ejemplo 2026-08." promptTitle="Periodo" prompt="AAAA-MM (ejemplo: 2026-08)" sqref="A2:A1079" xr:uid="{00000000-0002-0000-07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D2:K1079" xr:uid="{00000000-0002-0000-07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Clave inexistente" error="Esa clave no existe en la hoja dim_unidad. Agrégala primero al catálogo." xr:uid="{00000000-0002-0000-0700-000002000000}">
          <x14:formula1>
            <xm:f>dim_unidad!$A$2:$A$5000</xm:f>
          </x14:formula1>
          <x14:formula2>
            <xm:f>0</xm:f>
          </x14:formula2>
          <xm:sqref>B2:B1079</xm:sqref>
        </x14:dataValidation>
        <x14:dataValidation type="list" allowBlank="1" showErrorMessage="1" errorTitle="Clave inexistente" error="Esa clave no existe en la hoja dim_area. Agrégala primero al catálogo." xr:uid="{00000000-0002-0000-0700-000003000000}">
          <x14:formula1>
            <xm:f>dim_area!$A$2:$A$5000</xm:f>
          </x14:formula1>
          <x14:formula2>
            <xm:f>0</xm:f>
          </x14:formula2>
          <xm:sqref>C2:C1079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10" defaultColWidth="8.6640625" defaultRowHeight="14.4" x14ac:dyDescent="0.3"/>
  <cols>
    <col min="1" max="1" width="11" customWidth="1"/>
    <col min="2" max="3" width="26" customWidth="1"/>
    <col min="4" max="9" width="13" customWidth="1"/>
    <col min="10" max="11" width="15" customWidth="1"/>
  </cols>
  <sheetData>
    <row r="1" spans="1:11" ht="30" customHeight="1" x14ac:dyDescent="0.3">
      <c r="A1" s="15" t="s">
        <v>100</v>
      </c>
      <c r="B1" s="15" t="s">
        <v>51</v>
      </c>
      <c r="C1" s="15" t="s">
        <v>147</v>
      </c>
      <c r="D1" s="15" t="s">
        <v>148</v>
      </c>
      <c r="E1" s="15" t="s">
        <v>149</v>
      </c>
      <c r="F1" s="15" t="s">
        <v>150</v>
      </c>
      <c r="G1" s="15" t="s">
        <v>151</v>
      </c>
      <c r="H1" s="15" t="s">
        <v>152</v>
      </c>
      <c r="I1" s="15" t="s">
        <v>153</v>
      </c>
      <c r="J1" s="15" t="s">
        <v>154</v>
      </c>
      <c r="K1" s="15" t="s">
        <v>155</v>
      </c>
    </row>
    <row r="2" spans="1:11" ht="15" customHeight="1" x14ac:dyDescent="0.3">
      <c r="A2" s="16" t="s">
        <v>120</v>
      </c>
      <c r="B2" s="16" t="s">
        <v>77</v>
      </c>
      <c r="C2" s="16" t="s">
        <v>157</v>
      </c>
      <c r="D2" s="17">
        <v>0</v>
      </c>
      <c r="E2" s="17">
        <v>0</v>
      </c>
      <c r="F2" s="17">
        <v>2</v>
      </c>
      <c r="G2" s="17">
        <v>1</v>
      </c>
      <c r="H2" s="17">
        <v>0</v>
      </c>
      <c r="I2" s="17">
        <v>1</v>
      </c>
      <c r="J2" s="18">
        <v>36.200000000000003</v>
      </c>
      <c r="K2" s="18">
        <v>0.72599999999999998</v>
      </c>
    </row>
    <row r="3" spans="1:11" ht="15" customHeight="1" x14ac:dyDescent="0.3">
      <c r="A3" s="16" t="s">
        <v>121</v>
      </c>
      <c r="B3" s="16" t="s">
        <v>57</v>
      </c>
      <c r="C3" s="16" t="s">
        <v>156</v>
      </c>
      <c r="D3" s="17">
        <v>421</v>
      </c>
      <c r="E3" s="17">
        <v>0</v>
      </c>
      <c r="F3" s="17">
        <v>9</v>
      </c>
      <c r="G3" s="17">
        <v>3</v>
      </c>
      <c r="H3" s="17">
        <v>213</v>
      </c>
      <c r="I3" s="17">
        <v>4</v>
      </c>
      <c r="J3" s="18">
        <v>21</v>
      </c>
      <c r="K3" s="18">
        <v>0.78500000000000003</v>
      </c>
    </row>
    <row r="4" spans="1:11" ht="15" customHeight="1" x14ac:dyDescent="0.3">
      <c r="A4" s="16" t="s">
        <v>121</v>
      </c>
      <c r="B4" s="16" t="s">
        <v>62</v>
      </c>
      <c r="C4" s="16" t="s">
        <v>156</v>
      </c>
      <c r="D4" s="17">
        <v>638</v>
      </c>
      <c r="E4" s="17">
        <v>0</v>
      </c>
      <c r="F4" s="17">
        <v>5</v>
      </c>
      <c r="G4" s="17">
        <v>3</v>
      </c>
      <c r="H4" s="17">
        <v>38</v>
      </c>
      <c r="I4" s="17">
        <v>2</v>
      </c>
      <c r="J4" s="18">
        <v>32.9</v>
      </c>
      <c r="K4" s="18">
        <v>0.77500000000000002</v>
      </c>
    </row>
    <row r="5" spans="1:11" ht="15" customHeight="1" x14ac:dyDescent="0.3">
      <c r="A5" s="16" t="s">
        <v>121</v>
      </c>
      <c r="B5" s="16" t="s">
        <v>65</v>
      </c>
      <c r="C5" s="16" t="s">
        <v>156</v>
      </c>
      <c r="D5" s="17">
        <v>616</v>
      </c>
      <c r="E5" s="17">
        <v>0</v>
      </c>
      <c r="F5" s="17">
        <v>6</v>
      </c>
      <c r="G5" s="17">
        <v>4</v>
      </c>
      <c r="H5" s="17">
        <v>351</v>
      </c>
      <c r="I5" s="17">
        <v>3</v>
      </c>
      <c r="J5" s="18">
        <v>27.5</v>
      </c>
      <c r="K5" s="18">
        <v>0.69399999999999995</v>
      </c>
    </row>
    <row r="6" spans="1:11" ht="15" customHeight="1" x14ac:dyDescent="0.3">
      <c r="A6" s="16" t="s">
        <v>121</v>
      </c>
      <c r="B6" s="16" t="s">
        <v>67</v>
      </c>
      <c r="C6" s="16" t="s">
        <v>156</v>
      </c>
      <c r="D6" s="17">
        <v>357</v>
      </c>
      <c r="E6" s="17">
        <v>0</v>
      </c>
      <c r="F6" s="17">
        <v>5</v>
      </c>
      <c r="G6" s="17">
        <v>4</v>
      </c>
      <c r="H6" s="17">
        <v>104</v>
      </c>
      <c r="I6" s="17">
        <v>2</v>
      </c>
      <c r="J6" s="18">
        <v>30.4</v>
      </c>
      <c r="K6" s="18">
        <v>0.76700000000000002</v>
      </c>
    </row>
    <row r="7" spans="1:11" ht="15" customHeight="1" x14ac:dyDescent="0.3">
      <c r="A7" s="16" t="s">
        <v>121</v>
      </c>
      <c r="B7" s="16" t="s">
        <v>69</v>
      </c>
      <c r="C7" s="16" t="s">
        <v>156</v>
      </c>
      <c r="D7" s="17">
        <v>288</v>
      </c>
      <c r="E7" s="17">
        <v>0</v>
      </c>
      <c r="F7" s="17">
        <v>5</v>
      </c>
      <c r="G7" s="17">
        <v>2</v>
      </c>
      <c r="H7" s="17">
        <v>319</v>
      </c>
      <c r="I7" s="17">
        <v>3</v>
      </c>
      <c r="J7" s="18">
        <v>27.1</v>
      </c>
      <c r="K7" s="18">
        <v>0.76</v>
      </c>
    </row>
    <row r="8" spans="1:11" ht="15" customHeight="1" x14ac:dyDescent="0.3">
      <c r="A8" s="16" t="s">
        <v>121</v>
      </c>
      <c r="B8" s="16" t="s">
        <v>71</v>
      </c>
      <c r="C8" s="16" t="s">
        <v>156</v>
      </c>
      <c r="D8" s="17">
        <v>444</v>
      </c>
      <c r="E8" s="17">
        <v>0</v>
      </c>
      <c r="F8" s="17">
        <v>4</v>
      </c>
      <c r="G8" s="17">
        <v>2</v>
      </c>
      <c r="H8" s="17">
        <v>320</v>
      </c>
      <c r="I8" s="17">
        <v>2</v>
      </c>
      <c r="J8" s="18">
        <v>30.6</v>
      </c>
      <c r="K8" s="18">
        <v>0.74399999999999999</v>
      </c>
    </row>
    <row r="9" spans="1:11" ht="15" customHeight="1" x14ac:dyDescent="0.3">
      <c r="A9" s="16" t="s">
        <v>121</v>
      </c>
      <c r="B9" s="16" t="s">
        <v>73</v>
      </c>
      <c r="C9" s="16" t="s">
        <v>156</v>
      </c>
      <c r="D9" s="17">
        <v>228</v>
      </c>
      <c r="E9" s="17">
        <v>1</v>
      </c>
      <c r="F9" s="17">
        <v>5</v>
      </c>
      <c r="G9" s="17">
        <v>2</v>
      </c>
      <c r="H9" s="17">
        <v>348</v>
      </c>
      <c r="I9" s="17">
        <v>2</v>
      </c>
      <c r="J9" s="18">
        <v>29.8</v>
      </c>
      <c r="K9" s="18">
        <v>0.77800000000000002</v>
      </c>
    </row>
    <row r="10" spans="1:11" ht="15" customHeight="1" x14ac:dyDescent="0.3">
      <c r="A10" s="16" t="s">
        <v>121</v>
      </c>
      <c r="B10" s="16" t="s">
        <v>77</v>
      </c>
      <c r="C10" s="16" t="s">
        <v>157</v>
      </c>
      <c r="D10" s="17">
        <v>0</v>
      </c>
      <c r="E10" s="17">
        <v>0</v>
      </c>
      <c r="F10" s="17">
        <v>2</v>
      </c>
      <c r="G10" s="17">
        <v>1</v>
      </c>
      <c r="H10" s="17">
        <v>0</v>
      </c>
      <c r="I10" s="17">
        <v>1</v>
      </c>
      <c r="J10" s="18">
        <v>39.6</v>
      </c>
      <c r="K10" s="18">
        <v>0.7</v>
      </c>
    </row>
  </sheetData>
  <autoFilter ref="A1:K1" xr:uid="{00000000-0009-0000-0000-000008000000}"/>
  <dataValidations count="2">
    <dataValidation type="textLength" operator="equal" allowBlank="1" showErrorMessage="1" errorTitle="Periodo mal escrito" error="El periodo se escribe AAAA-MM, por ejemplo 2026-08." promptTitle="Periodo" prompt="AAAA-MM (ejemplo: 2026-08)" sqref="A2:A1010" xr:uid="{00000000-0002-0000-08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D2:K1010" xr:uid="{00000000-0002-0000-08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Clave inexistente" error="Esa clave no existe en la hoja dim_unidad. Agrégala primero al catálogo." xr:uid="{00000000-0002-0000-0800-000002000000}">
          <x14:formula1>
            <xm:f>dim_unidad!$A$2:$A$5000</xm:f>
          </x14:formula1>
          <x14:formula2>
            <xm:f>0</xm:f>
          </x14:formula2>
          <xm:sqref>B2:B1010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2" width="26" customWidth="1"/>
    <col min="3" max="3" width="15" customWidth="1"/>
    <col min="4" max="5" width="26" customWidth="1"/>
  </cols>
  <sheetData>
    <row r="1" spans="1:5" ht="30" customHeight="1" x14ac:dyDescent="0.3">
      <c r="A1" s="15" t="s">
        <v>158</v>
      </c>
      <c r="B1" s="15" t="s">
        <v>159</v>
      </c>
      <c r="C1" s="15" t="s">
        <v>160</v>
      </c>
      <c r="D1" s="15" t="s">
        <v>161</v>
      </c>
      <c r="E1" s="15" t="s">
        <v>162</v>
      </c>
    </row>
    <row r="2" spans="1:5" ht="15" customHeight="1" x14ac:dyDescent="0.3">
      <c r="A2" s="16" t="s">
        <v>163</v>
      </c>
      <c r="B2" s="16" t="s">
        <v>164</v>
      </c>
      <c r="C2" s="18">
        <v>14</v>
      </c>
      <c r="D2" s="16" t="s">
        <v>165</v>
      </c>
      <c r="E2" s="16" t="s">
        <v>166</v>
      </c>
    </row>
    <row r="3" spans="1:5" ht="15" customHeight="1" x14ac:dyDescent="0.3">
      <c r="A3" s="16" t="s">
        <v>167</v>
      </c>
      <c r="B3" s="16" t="s">
        <v>168</v>
      </c>
      <c r="C3" s="18">
        <v>9.5</v>
      </c>
      <c r="D3" s="16" t="s">
        <v>165</v>
      </c>
      <c r="E3" s="16" t="s">
        <v>166</v>
      </c>
    </row>
    <row r="4" spans="1:5" ht="15" customHeight="1" x14ac:dyDescent="0.3">
      <c r="A4" s="16" t="s">
        <v>169</v>
      </c>
      <c r="B4" s="16" t="s">
        <v>170</v>
      </c>
      <c r="C4" s="18">
        <v>3</v>
      </c>
      <c r="D4" s="16" t="s">
        <v>165</v>
      </c>
      <c r="E4" s="16" t="s">
        <v>166</v>
      </c>
    </row>
    <row r="5" spans="1:5" ht="15" customHeight="1" x14ac:dyDescent="0.3">
      <c r="A5" s="16" t="s">
        <v>171</v>
      </c>
      <c r="B5" s="16" t="s">
        <v>172</v>
      </c>
      <c r="C5" s="18">
        <v>97</v>
      </c>
      <c r="D5" s="16" t="s">
        <v>173</v>
      </c>
      <c r="E5" s="16" t="s">
        <v>166</v>
      </c>
    </row>
    <row r="6" spans="1:5" ht="15" customHeight="1" x14ac:dyDescent="0.3">
      <c r="A6" s="16" t="s">
        <v>174</v>
      </c>
      <c r="B6" s="16" t="s">
        <v>175</v>
      </c>
      <c r="C6" s="18">
        <v>95</v>
      </c>
      <c r="D6" s="16" t="s">
        <v>173</v>
      </c>
      <c r="E6" s="16" t="s">
        <v>166</v>
      </c>
    </row>
    <row r="7" spans="1:5" ht="15" customHeight="1" x14ac:dyDescent="0.3">
      <c r="A7" s="16" t="s">
        <v>176</v>
      </c>
      <c r="B7" s="16" t="s">
        <v>177</v>
      </c>
      <c r="C7" s="18">
        <v>18</v>
      </c>
      <c r="D7" s="16" t="s">
        <v>165</v>
      </c>
      <c r="E7" s="16" t="s">
        <v>166</v>
      </c>
    </row>
    <row r="8" spans="1:5" ht="15" customHeight="1" x14ac:dyDescent="0.3">
      <c r="A8" s="16" t="s">
        <v>178</v>
      </c>
      <c r="B8" s="16" t="s">
        <v>179</v>
      </c>
      <c r="C8" s="18">
        <v>32</v>
      </c>
      <c r="D8" s="16" t="s">
        <v>165</v>
      </c>
      <c r="E8" s="16" t="s">
        <v>180</v>
      </c>
    </row>
    <row r="9" spans="1:5" ht="15" customHeight="1" x14ac:dyDescent="0.3">
      <c r="A9" s="16" t="s">
        <v>181</v>
      </c>
      <c r="B9" s="16" t="s">
        <v>182</v>
      </c>
      <c r="C9" s="18">
        <v>32</v>
      </c>
      <c r="D9" s="16" t="s">
        <v>165</v>
      </c>
      <c r="E9" s="16" t="s">
        <v>166</v>
      </c>
    </row>
    <row r="10" spans="1:5" ht="15" customHeight="1" x14ac:dyDescent="0.3">
      <c r="A10" s="16" t="s">
        <v>183</v>
      </c>
      <c r="B10" s="16" t="s">
        <v>184</v>
      </c>
      <c r="C10" s="18">
        <v>6</v>
      </c>
      <c r="D10" s="16" t="s">
        <v>165</v>
      </c>
      <c r="E10" s="16" t="s">
        <v>166</v>
      </c>
    </row>
    <row r="11" spans="1:5" ht="15" customHeight="1" x14ac:dyDescent="0.3">
      <c r="A11" s="16" t="s">
        <v>185</v>
      </c>
      <c r="B11" s="16" t="s">
        <v>186</v>
      </c>
      <c r="C11" s="18">
        <v>1.5</v>
      </c>
      <c r="D11" s="16" t="s">
        <v>165</v>
      </c>
      <c r="E11" s="16" t="s">
        <v>166</v>
      </c>
    </row>
    <row r="12" spans="1:5" ht="15" customHeight="1" x14ac:dyDescent="0.3">
      <c r="A12" s="16" t="s">
        <v>187</v>
      </c>
      <c r="B12" s="16" t="s">
        <v>188</v>
      </c>
      <c r="C12" s="18">
        <v>48</v>
      </c>
      <c r="D12" s="16" t="s">
        <v>165</v>
      </c>
      <c r="E12" s="16" t="s">
        <v>189</v>
      </c>
    </row>
    <row r="13" spans="1:5" ht="15" customHeight="1" x14ac:dyDescent="0.3">
      <c r="A13" s="16" t="s">
        <v>190</v>
      </c>
      <c r="B13" s="16" t="s">
        <v>191</v>
      </c>
      <c r="C13" s="18">
        <v>4.4000000000000004</v>
      </c>
      <c r="D13" s="16" t="s">
        <v>173</v>
      </c>
      <c r="E13" s="16" t="s">
        <v>192</v>
      </c>
    </row>
    <row r="14" spans="1:5" ht="15" customHeight="1" x14ac:dyDescent="0.3">
      <c r="A14" s="16" t="s">
        <v>193</v>
      </c>
      <c r="B14" s="16" t="s">
        <v>194</v>
      </c>
      <c r="C14" s="18">
        <v>95</v>
      </c>
      <c r="D14" s="16" t="s">
        <v>173</v>
      </c>
      <c r="E14" s="16" t="s">
        <v>166</v>
      </c>
    </row>
    <row r="15" spans="1:5" ht="15" customHeight="1" x14ac:dyDescent="0.3">
      <c r="A15" s="16" t="s">
        <v>195</v>
      </c>
      <c r="B15" s="16" t="s">
        <v>196</v>
      </c>
      <c r="C15" s="18">
        <v>98</v>
      </c>
      <c r="D15" s="16" t="s">
        <v>173</v>
      </c>
      <c r="E15" s="16" t="s">
        <v>166</v>
      </c>
    </row>
    <row r="16" spans="1:5" ht="15" customHeight="1" x14ac:dyDescent="0.3">
      <c r="A16" s="16" t="s">
        <v>197</v>
      </c>
      <c r="B16" s="16" t="s">
        <v>198</v>
      </c>
      <c r="C16" s="18">
        <v>2.1</v>
      </c>
      <c r="D16" s="16" t="s">
        <v>173</v>
      </c>
      <c r="E16" s="16" t="s">
        <v>199</v>
      </c>
    </row>
    <row r="17" spans="1:5" ht="15" customHeight="1" x14ac:dyDescent="0.3">
      <c r="A17" s="16" t="s">
        <v>200</v>
      </c>
      <c r="B17" s="16" t="s">
        <v>201</v>
      </c>
      <c r="C17" s="18">
        <v>95</v>
      </c>
      <c r="D17" s="16" t="s">
        <v>173</v>
      </c>
      <c r="E17" s="16" t="s">
        <v>166</v>
      </c>
    </row>
    <row r="18" spans="1:5" ht="15" customHeight="1" x14ac:dyDescent="0.3">
      <c r="A18" s="16" t="s">
        <v>154</v>
      </c>
      <c r="B18" s="16" t="s">
        <v>202</v>
      </c>
      <c r="C18" s="18">
        <v>30</v>
      </c>
      <c r="D18" s="16" t="s">
        <v>173</v>
      </c>
      <c r="E18" s="16" t="s">
        <v>203</v>
      </c>
    </row>
  </sheetData>
  <autoFilter ref="A1:E1" xr:uid="{00000000-0009-0000-0000-000009000000}"/>
  <dataValidations count="2">
    <dataValidation type="decimal" operator="greaterThanOrEqual" allowBlank="1" showErrorMessage="1" errorTitle="Valor inválido" error="Este campo no admite valores negativos." sqref="C2:C1018" xr:uid="{00000000-0002-0000-0900-000000000000}">
      <formula1>0</formula1>
      <formula2>0</formula2>
    </dataValidation>
    <dataValidation type="list" allowBlank="1" showErrorMessage="1" errorTitle="Valor fuera de catálogo" error="Valores permitidos: menor_mejor, mayor_mejor" sqref="D2:D1018" xr:uid="{00000000-0002-0000-0900-000001000000}">
      <formula1>"menor_mejor,mayor_mejor"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LEEME</vt:lpstr>
      <vt:lpstr>dim_unidad</vt:lpstr>
      <vt:lpstr>dim_area</vt:lpstr>
      <vt:lpstr>fact_plantilla</vt:lpstr>
      <vt:lpstr>fact_movimientos</vt:lpstr>
      <vt:lpstr>fact_ausentismo</vt:lpstr>
      <vt:lpstr>fact_nomina</vt:lpstr>
      <vt:lpstr>fact_capacitacion</vt:lpstr>
      <vt:lpstr>fact_relaciones_laborales</vt:lpstr>
      <vt:lpstr>metas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Base de datos — Dashboard de RRHH</dc:title>
  <dc:creator>ETL Dashboard de RRHH</dc:creator>
  <cp:lastModifiedBy>Daniel Horacio Lopez</cp:lastModifiedBy>
  <cp:revision>0</cp:revision>
  <dcterms:created xsi:type="dcterms:W3CDTF">2026-08-21T16:52:28Z</dcterms:created>
  <dcterms:modified xsi:type="dcterms:W3CDTF">2026-08-24T18:48:03Z</dcterms:modified>
  <dc:language>en-US</dc:language>
</cp:coreProperties>
</file>